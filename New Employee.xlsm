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10. Finance\10.50. Q&amp;A Templates\Maintenance\"/>
    </mc:Choice>
  </mc:AlternateContent>
  <bookViews>
    <workbookView xWindow="0" yWindow="0" windowWidth="28800" windowHeight="12375"/>
  </bookViews>
  <sheets>
    <sheet name="Process" sheetId="1" r:id="rId1"/>
    <sheet name="Ls_XLB_WorkbookFile" sheetId="3" state="veryHidden" r:id="rId2"/>
    <sheet name="Ls_AgXLB_WorkbookFile" sheetId="2" state="veryHidden" r:id="rId3"/>
  </sheets>
  <functionGroups builtInGroupCount="18"/>
  <externalReferences>
    <externalReference r:id="rId4"/>
  </externalReferences>
  <definedNames>
    <definedName name="account">Process!$B$4</definedName>
    <definedName name="accountName">Process!$H$9</definedName>
    <definedName name="bankSubcode">Process!$H$18</definedName>
    <definedName name="businessUnit">Process!$B$7</definedName>
    <definedName name="checkCode">Process!$B$13</definedName>
    <definedName name="checkName">Process!$B$14</definedName>
    <definedName name="chkAccount">Process!$B$19</definedName>
    <definedName name="chkAnalysis">Process!$B$17</definedName>
    <definedName name="chkBank">Process!$B$18</definedName>
    <definedName name="chkSupplier">Process!$B$20</definedName>
    <definedName name="curr">Process!$H$17</definedName>
    <definedName name="emailAdd">Process!$H$8</definedName>
    <definedName name="employeeName">Process!$H$5</definedName>
    <definedName name="lookup">Process!#REF!</definedName>
    <definedName name="payTerms">Process!#REF!</definedName>
    <definedName name="reconciler">Process!$B$9</definedName>
    <definedName name="reporting">Process!#REF!</definedName>
    <definedName name="sunUserID">Process!#REF!</definedName>
    <definedName name="tbAcct">Process!#REF!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B19" i="1"/>
  <c r="B17" i="1"/>
  <c r="B13" i="1"/>
  <c r="B14" i="1"/>
  <c r="B10" i="1"/>
  <c r="F2" i="1" l="1"/>
  <c r="A1" i="1"/>
  <c r="I10" i="1"/>
  <c r="I11" i="1"/>
  <c r="I14" i="1"/>
  <c r="I15" i="1"/>
  <c r="I16" i="1"/>
  <c r="B8" i="1"/>
</calcChain>
</file>

<file path=xl/sharedStrings.xml><?xml version="1.0" encoding="utf-8"?>
<sst xmlns="http://schemas.openxmlformats.org/spreadsheetml/2006/main" count="48" uniqueCount="43">
  <si>
    <t>Filters</t>
  </si>
  <si>
    <t>Settings</t>
  </si>
  <si>
    <t>Business Unit:</t>
  </si>
  <si>
    <t>FPU</t>
  </si>
  <si>
    <t>Name:</t>
  </si>
  <si>
    <t>Account Name:</t>
  </si>
  <si>
    <t>Sort-Code:</t>
  </si>
  <si>
    <t>Account No:</t>
  </si>
  <si>
    <t>Swift Code:</t>
  </si>
  <si>
    <t>IBAN No.:</t>
  </si>
  <si>
    <t>Bank Name:</t>
  </si>
  <si>
    <t>Bank address:</t>
  </si>
  <si>
    <t>Bank Country Code:</t>
  </si>
  <si>
    <t>Account Currency:</t>
  </si>
  <si>
    <t>Bank Sub Code:</t>
  </si>
  <si>
    <t>Dummy Country:</t>
  </si>
  <si>
    <t>Supplier Code:</t>
  </si>
  <si>
    <t>Checks</t>
  </si>
  <si>
    <t>Code Exists:</t>
  </si>
  <si>
    <t>Name Exists:</t>
  </si>
  <si>
    <t>Created Check</t>
  </si>
  <si>
    <t>Account:</t>
  </si>
  <si>
    <t>Bank Details:</t>
  </si>
  <si>
    <t>Bank Details</t>
  </si>
  <si>
    <t>*</t>
  </si>
  <si>
    <r>
      <t xml:space="preserve">Mandatory Field      </t>
    </r>
    <r>
      <rPr>
        <sz val="11"/>
        <color rgb="FFFF0000"/>
        <rFont val="Arial"/>
        <family val="2"/>
        <scheme val="minor"/>
      </rPr>
      <t>**</t>
    </r>
    <r>
      <rPr>
        <sz val="11"/>
        <color theme="1"/>
        <rFont val="Arial"/>
        <family val="2"/>
        <scheme val="minor"/>
      </rPr>
      <t xml:space="preserve"> Mandatory, enter "#" if not supplied</t>
    </r>
  </si>
  <si>
    <t>Reconciler:</t>
  </si>
  <si>
    <t>EAMU1</t>
  </si>
  <si>
    <t>&gt;&gt;Data Send 1</t>
  </si>
  <si>
    <t>&gt;'lsd</t>
  </si>
  <si>
    <t xml:space="preserve">&gt;'[LASATA SETUP FILE]_x000D_
Date=2014-08-14 16:26:42_x000D_
FileType=Agora XML SendData_x000D_
Version=0_x000D_
Buffer=_x000D_
@Agora XML SendData:Str=@STARTBLOCK_x000D_
setupFileVersion:2=1_x000D_
AbortIfErrorsExist:2=1_x000D_
AppendFile:2=0_x000D_
RunScript:2=0_x000D_
DatabaseOrig:8=_x000D_
DefinitionName:8=Bank Details_x000D_
DefinitionVersion:4=2_x000D_
ErrorReference:8=$B$23_x000D_
CommentReference:8=_x000D_
MatrixSend:11=0_x000D_
SkipBlanks:11=-1_x000D_
CSVDelimeter:8=_x000D_
CSVIncludeHeader:2=0_x000D_
DriverFieldOverrideNodePath:8=/SSC/Payload/BankDetails/BankDetailsCode_x000D_
Language:8=_x000D_
OutputFileNameOrig:8=S:\10. Finance\10.60 Q&amp;A Documents\Upload Files\bankDetails.xml_x000D_
SetupFileNameOrig:8=_x000D_
SetupFileType:2=2_x000D_
ShowMessages:2=1_x000D_
WorkBookSetupFileOrig:8=Data Send 1_x000D_
LayoutIdetifierColumn:8=_x000D_
Product:8=SS5_x000D_
SuperFieldKey:8=DbC_x000D_
SuperFieldValue:8=businessUnit_x000D_
FieldValueCodePath:8=/SSC/Payload/BankDetails/BankDetailsCode_x000D_
FieldValueValue:8=account_x000D_
FieldValueCodePath:8=/SSC/Payload/BankDetails/BankAccountNumber_x000D_
FieldValueValue:8=$H$19_x000D_
FieldValueCodePath:8=/SSC/Payload/BankDetails/BankAccountName_x000D_
FieldValueValue:8=accountName_x000D_
FieldValueCodePath:8=/SSC/Payload/BankDetails/BankBranch_x000D_
FieldValueValue:8=$H$24_x000D_
FieldValueCodePath:8=/SSC/Payload/BankDetails/BankName_x000D_
FieldValueValue:8=$H$23_x000D_
FieldValueCodePath:8=/SSC/Payload/BankDetails/BankSortCode_x000D_
FieldValueValue:8=$H$19_x000D_
FieldValueCodePath:8=/SSC/Payload/BankDetails/BankSubcode_x000D_
FieldValueValue:8=$H$27_x000D_
FieldValueCodePath:8=/SSC/Payload/BankDetails/Comment_x000D_
FieldValueValue:8=$H$22_x000D_
FieldValueCodePath:8=/SSC/Payload/BankDetails/TransactionReference_x000D_
FieldValueValue:8=$H$21_x000D_
ZeroRecordCount:3=0_x000D_
NonZeroRecordCount:3=0_x000D_
_x000D_
@ENDBLOCK_x000D_
</t>
  </si>
  <si>
    <t>&gt;&gt;Data Send 2</t>
  </si>
  <si>
    <t xml:space="preserve">&gt;'[LASATA SETUP FILE]_x000D_
Date=2014-08-14 17:17:53_x000D_
FileType=Agora XML SendData_x000D_
Version=0_x000D_
Buffer=_x000D_
@Agora XML SendData:Str=@STARTBLOCK_x000D_
setupFileVersion:2=1_x000D_
AbortIfErrorsExist:2=1_x000D_
AppendFile:2=0_x000D_
RunScript:2=0_x000D_
DatabaseOrig:8=_x000D_
DefinitionName:8=Account Codes_x000D_
DefinitionVersion:4=2_x000D_
ErrorReference:8=$B$21_x000D_
CommentReference:8=_x000D_
MatrixSend:11=0_x000D_
SkipBlanks:11=-1_x000D_
CSVDelimeter:8=_x000D_
CSVIncludeHeader:2=0_x000D_
Language:8=_x000D_
OutputFileNameOrig:8=S:\10. Finance\10.60. Q&amp;A Documents\Upload Files\account.xml_x000D_
SetupFileNameOrig:8=_x000D_
SetupFileType:2=2_x000D_
ShowMessages:2=1_x000D_
WorkBookSetupFileOrig:8=Data Send 2_x000D_
LayoutIdetifierColumn:8=$A$28_x000D_
Product:8=SS5_x000D_
SuperFieldKey:8=DbC_x000D_
SuperFieldValue:8=businessUnit_x000D_
FieldValueCodePath:8=/SSC/Payload/Accounts/AccountCode_x000D_
FieldValueValue:8=account_x000D_
FieldValueCodePath:8=/SSC/Payload/Accounts/AccountType_x000D_
FieldValueValue:8=C_x000D_
FieldValueCodePath:8=/SSC/Payload/Accounts/BalanceType_x000D_
FieldValueValue:8=O_x000D_
FieldValueCodePath:8=/SSC/Payload/Accounts/DefaultCurrencyCode_x000D_
FieldValueValue:8=$H$26_x000D_
FieldValueCodePath:8=/SSC/Payload/Accounts/Description_x000D_
FieldValueValue:8=supplierName_x000D_
FieldValueCodePath:8=/SSC/Payload/Accounts/EnterAnalysis1_x000D_
FieldValueValue:8=M_x000D_
FieldValueCodePath:8=/SSC/Payload/Accounts/EnterAnalysis2_x000D_
FieldValueValue:8=M_x000D_
FieldValueCodePath:8=/SSC/Payload/Accounts/EnterAnalysis3_x000D_
FieldValueValue:8=P_x000D_
FieldValueCodePath:8=/SSC/Payload/Accounts/EnterAnalysis4_x000D_
FieldValueValue:8=P_x000D_
FieldValueCodePath:8=/SSC/Payload/Accounts/EnterAnalysis5_x000D_
FieldValueValue:8=M_x000D_
FieldValueCodePath:8=/SSC/Payload/Accounts/EnterAnalysis6_x000D_
FieldValueValue:8=P_x000D_
FieldValueCodePath:8=/SSC/Payload/Accounts/EnterAnalysis7_x000D_
FieldValueValue:8=O_x000D_
FieldValueCodePath:8=/SSC/Payload/Accounts/EnterAnalysis8_x000D_
FieldValueValue:8=P_x000D_
FieldValueCodePath:8=/SSC/Payload/Accounts/EnterAnalysis9_x000D_
FieldValueValue:8=M_x000D_
FieldValueCodePath:8=/SSC/Payload/Accounts/LookupCode_x000D_
FieldValueValue:8=$B$9_x000D_
FieldValueCodePath:8=/SSC/Payload/Accounts/ShortHeading_x000D_
FieldValueValue:8=Creditors_x000D_
FieldValueCodePath:8=/SSC/Payload/Accounts/AccountingLinksAllowed_x000D_
FieldValueValue:8=_x000D_
FieldValueCodePath:8=/SSC/Payload/Accounts/UserArea_x000D_
FieldValueValue:8=$B$12_x000D_
FieldValueCodePath:8=/SSC/Payload/Accounts/Analysis1/VAcntCatAnalysis_AnlCode_x000D_
FieldValueValue:8='B400_x000D_
FieldValueCodePath:8=/SSC/Payload/Accounts/Analysis2/VAcntCatAnalysis_AnlCode_x000D_
FieldValueValue:8=Y_x000D_
FieldValueCodePath:8=/SSC/Payload/Accounts/Analysis4/VAcntCatAnalysis_AnlCode_x000D_
FieldValueValue:8=30_x000D_
FieldValueCodePath:8=/SSC/Payload/Accounts/Analysis5/VAcntCatAnalysis_AnlCode_x000D_
FieldValueValue:8='A80100_x000D_
FieldValueCodePath:8=/SSC/Payload/Accounts/Analysis6/VAcntCatAnalysis_AnlCode_x000D_
FieldValueValue:8=_x000D_
ZeroRecordCount:3=0_x000D_
NonZeroRecordCount:3=0_x000D_
_x000D_
@ENDBLOCK_x000D_
</t>
  </si>
  <si>
    <t>&gt;&gt;Data Send 3</t>
  </si>
  <si>
    <t xml:space="preserve">&gt;'[LASATA SETUP FILE]_x000D_
Date=2014-08-15 10:41:34_x000D_
FileType=Agora XML SendData_x000D_
Version=0_x000D_
Buffer=_x000D_
@Agora XML SendData:Str=@STARTBLOCK_x000D_
setupFileVersion:2=1_x000D_
AbortIfErrorsExist:2=1_x000D_
AppendFile:2=0_x000D_
RunScript:2=0_x000D_
DatabaseOrig:8=_x000D_
DefinitionName:8=Address Codes_x000D_
DefinitionVersion:4=2_x000D_
ErrorReference:8=_x000D_
CommentReference:8=_x000D_
MatrixSend:11=0_x000D_
SkipBlanks:11=-1_x000D_
CSVDelimeter:8=_x000D_
CSVIncludeHeader:2=0_x000D_
DriverFieldOverrideNodePath:8=/SSC/Payload/Address/AddressCode_x000D_
Language:8=_x000D_
OutputFileNameOrig:8=S:\10. Finance\10.60. Q&amp;A Documents\Upload Files\address.xml_x000D_
SetupFileNameOrig:8=_x000D_
SetupFileType:2=2_x000D_
ShowMessages:2=1_x000D_
WorkBookSetupFileOrig:8=Data Send 3_x000D_
LayoutIdetifierColumn:8=$A$28_x000D_
Product:8=SS5_x000D_
SuperFieldKey:8=DbC_x000D_
SuperFieldValue:8=businessUnit_x000D_
FieldValueCodePath:8=/SSC/Payload/Address/AddressCode_x000D_
FieldValueValue:8=account_x000D_
FieldValueCodePath:8=/SSC/Payload/Address/AddressLine1_x000D_
FieldValueValue:8=$H$5_x000D_
FieldValueCodePath:8=/SSC/Payload/Address/AddressLine2_x000D_
FieldValueValue:8=$H$11_x000D_
FieldValueCodePath:8=/SSC/Payload/Address/AddressLine3_x000D_
FieldValueValue:8=$H$12_x000D_
FieldValueCodePath:8=/SSC/Payload/Address/AddressLine4_x000D_
FieldValueValue:8=$H$13_x000D_
FieldValueCodePath:8=/SSC/Payload/Address/AddressLine5_x000D_
FieldValueValue:8=$H$14_x000D_
FieldValueCodePath:8=/SSC/Payload/Address/CountryCode_x000D_
FieldValueValue:8=_x000D_
FieldValueCodePath:8=/SSC/Payload/Address/Country_x000D_
FieldValueValue:8=$H$17_x000D_
FieldValueCodePath:8=/SSC/Payload/Address/TownCity_x000D_
FieldValueValue:8=$H$15_x000D_
FieldValueCodePath:8=/SSC/Payload/Address/PostalCode_x000D_
FieldValueValue:8=$H$16_x000D_
FieldValueCodePath:8=/SSC/Payload/Address/LookupCode_x000D_
FieldValueValue:8=$B$9_x000D_
FieldValueCodePath:8=/SSC/Payload/Address/ShortHeading_x000D_
FieldValueValue:8=Creditors_x000D_
FieldValueCodePath:8=/SSC/Payload/Address/FaxNumber_x000D_
FieldValueValue:8=_x000D_
FieldValueCodePath:8=/SSC/Payload/Address/TelephoneNumber_x000D_
FieldValueValue:8=$H$9_x000D_
FieldValueCodePath:8=/SSC/Payload/Address/Comment_x000D_
FieldValueValue:8=$H$8_x000D_
ZeroRecordCount:3=0_x000D_
NonZeroRecordCount:3=0_x000D_
_x000D_
@ENDBLOCK_x000D_
</t>
  </si>
  <si>
    <t>Proactis responsibility:</t>
  </si>
  <si>
    <t>Department:</t>
  </si>
  <si>
    <t>Email address</t>
  </si>
  <si>
    <t>General</t>
  </si>
  <si>
    <t>Analysis Code:</t>
  </si>
  <si>
    <t>Dummy Dept:</t>
  </si>
  <si>
    <t>E1</t>
  </si>
  <si>
    <t>@faroe-petroleum.com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</si>
</sst>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</numFmts>
  <fonts count="28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1"/>
      <name val="Arial"/>
      <family val="2"/>
    </font>
    <font>
      <b/>
      <sz val="28"/>
      <color theme="0"/>
      <name val="Arial"/>
      <family val="2"/>
      <scheme val="minor"/>
    </font>
    <font>
      <b/>
      <sz val="11"/>
      <color rgb="FFFFFFFF"/>
      <name val="Arial"/>
      <family val="2"/>
      <scheme val="minor"/>
    </font>
    <font>
      <b/>
      <sz val="11"/>
      <color theme="3" tint="0.79998168889431442"/>
      <name val="Arial"/>
      <family val="2"/>
      <scheme val="minor"/>
    </font>
    <font>
      <sz val="11"/>
      <color theme="2"/>
      <name val="Arial"/>
      <family val="2"/>
      <scheme val="minor"/>
    </font>
    <font>
      <sz val="10"/>
      <name val="Arial"/>
      <family val="2"/>
    </font>
    <font>
      <sz val="11"/>
      <color theme="2" tint="-0.499984740745262"/>
      <name val="Arial"/>
      <family val="2"/>
      <scheme val="minor"/>
    </font>
    <font>
      <b/>
      <sz val="11"/>
      <color theme="2" tint="-0.499984740745262"/>
      <name val="Arial"/>
      <family val="2"/>
      <scheme val="minor"/>
    </font>
    <font>
      <sz val="10"/>
      <color indexed="10"/>
      <name val="Arial"/>
      <family val="2"/>
      <scheme val="major"/>
    </font>
    <font>
      <sz val="10"/>
      <color rgb="FFFF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79998168889431442"/>
        <bgColor indexed="64"/>
      </patternFill>
    </fill>
    <fill>
      <gradientFill>
        <stop position="0">
          <color theme="6" tint="0.40000610370189521"/>
        </stop>
        <stop position="1">
          <color rgb="FFFFFFFF"/>
        </stop>
      </gradient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6"/>
      </left>
      <right style="thin">
        <color theme="6" tint="0.79998168889431442"/>
      </right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 style="medium">
        <color rgb="FFFFFFFF"/>
      </top>
      <bottom/>
      <diagonal/>
    </border>
  </borders>
  <cellStyleXfs count="55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Alignment="0"/>
    <xf numFmtId="0" fontId="22" fillId="37" borderId="11" applyNumberFormat="0">
      <alignment horizontal="right"/>
    </xf>
    <xf numFmtId="0" fontId="19" fillId="0" borderId="0" applyNumberFormat="0"/>
    <xf numFmtId="0" fontId="1" fillId="0" borderId="0" applyNumberFormat="0">
      <alignment horizontal="right"/>
    </xf>
    <xf numFmtId="0" fontId="20" fillId="35" borderId="12" applyNumberFormat="0" applyAlignment="0"/>
    <xf numFmtId="0" fontId="16" fillId="33" borderId="11" applyNumberFormat="0" applyAlignment="0"/>
    <xf numFmtId="0" fontId="1" fillId="33" borderId="0" applyNumberFormat="0" applyAlignment="0"/>
    <xf numFmtId="0" fontId="21" fillId="36" borderId="13" applyNumberFormat="0" applyAlignment="0"/>
  </cellStyleXfs>
  <cellXfs count="30">
    <xf numFmtId="0" fontId="0" fillId="0" borderId="0" xfId="0"/>
    <xf numFmtId="0" fontId="0" fillId="34" borderId="10" xfId="0" applyFill="1" applyBorder="1"/>
    <xf numFmtId="0" fontId="22" fillId="37" borderId="11" xfId="48">
      <alignment horizontal="right"/>
    </xf>
    <xf numFmtId="0" fontId="19" fillId="0" borderId="0" xfId="49"/>
    <xf numFmtId="0" fontId="0" fillId="0" borderId="0" xfId="0" applyFill="1"/>
    <xf numFmtId="0" fontId="18" fillId="0" borderId="0" xfId="47" applyFill="1"/>
    <xf numFmtId="0" fontId="1" fillId="0" borderId="0" xfId="50">
      <alignment horizontal="right"/>
    </xf>
    <xf numFmtId="0" fontId="18" fillId="0" borderId="0" xfId="47"/>
    <xf numFmtId="0" fontId="23" fillId="0" borderId="0" xfId="0" applyFont="1"/>
    <xf numFmtId="0" fontId="0" fillId="40" borderId="0" xfId="53" applyFont="1" applyFill="1" applyBorder="1"/>
    <xf numFmtId="0" fontId="24" fillId="37" borderId="0" xfId="53" applyFont="1" applyFill="1"/>
    <xf numFmtId="0" fontId="26" fillId="0" borderId="0" xfId="0" applyNumberFormat="1" applyFont="1" applyAlignment="1">
      <alignment horizontal="center"/>
    </xf>
    <xf numFmtId="0" fontId="1" fillId="0" borderId="0" xfId="50" applyNumberFormat="1">
      <alignment horizontal="right"/>
    </xf>
    <xf numFmtId="0" fontId="1" fillId="40" borderId="14" xfId="53" applyFill="1" applyBorder="1"/>
    <xf numFmtId="0" fontId="24" fillId="37" borderId="14" xfId="53" applyFont="1" applyFill="1" applyBorder="1"/>
    <xf numFmtId="0" fontId="27" fillId="0" borderId="0" xfId="0" applyFont="1"/>
    <xf numFmtId="0" fontId="27" fillId="0" borderId="0" xfId="0" applyFont="1" applyAlignment="1">
      <alignment horizontal="right"/>
    </xf>
    <xf numFmtId="0" fontId="1" fillId="0" borderId="0" xfId="50" applyFill="1">
      <alignment horizontal="right"/>
    </xf>
    <xf numFmtId="0" fontId="0" fillId="0" borderId="0" xfId="0" applyAlignment="1">
      <alignment wrapText="1"/>
    </xf>
    <xf numFmtId="0" fontId="24" fillId="37" borderId="0" xfId="53" applyFont="1" applyFill="1" applyAlignment="1">
      <alignment horizontal="left"/>
    </xf>
    <xf numFmtId="0" fontId="0" fillId="40" borderId="14" xfId="53" applyFont="1" applyFill="1" applyBorder="1"/>
    <xf numFmtId="0" fontId="0" fillId="40" borderId="15" xfId="53" applyFont="1" applyFill="1" applyBorder="1"/>
    <xf numFmtId="0" fontId="1" fillId="40" borderId="0" xfId="53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0" fillId="40" borderId="11" xfId="53" applyNumberFormat="1" applyFont="1" applyFill="1" applyBorder="1" applyAlignment="1">
      <alignment horizontal="left"/>
    </xf>
    <xf numFmtId="0" fontId="16" fillId="39" borderId="0" xfId="53" applyFont="1" applyFill="1" applyBorder="1" applyAlignment="1">
      <alignment horizontal="center" vertical="center" textRotation="90"/>
    </xf>
    <xf numFmtId="0" fontId="0" fillId="0" borderId="0" xfId="0" applyBorder="1" applyAlignment="1">
      <alignment horizontal="center" vertical="center" textRotation="90"/>
    </xf>
    <xf numFmtId="0" fontId="0" fillId="0" borderId="11" xfId="0" applyBorder="1" applyAlignment="1">
      <alignment horizontal="center" vertical="center" textRotation="90"/>
    </xf>
    <xf numFmtId="0" fontId="25" fillId="38" borderId="16" xfId="53" applyFont="1" applyFill="1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</cellXfs>
  <cellStyles count="55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Body" xfId="53"/>
    <cellStyle name="Body Subtotal" xfId="52"/>
    <cellStyle name="Calculation" xfId="16" builtinId="22" hidden="1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Filter" xfId="48"/>
    <cellStyle name="Good" xfId="11" builtinId="26" hidden="1"/>
    <cellStyle name="Header1" xfId="47"/>
    <cellStyle name="Header2" xfId="5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Input" xfId="14" builtinId="20" hidden="1"/>
    <cellStyle name="Linked Cell" xfId="17" builtinId="24" hidden="1"/>
    <cellStyle name="Neutral" xfId="13" builtinId="28" hidden="1"/>
    <cellStyle name="Normal" xfId="0" builtinId="0"/>
    <cellStyle name="Note" xfId="20" builtinId="10" hidden="1"/>
    <cellStyle name="Output" xfId="15" builtinId="21" hidden="1"/>
    <cellStyle name="Percent" xfId="5" builtinId="5" hidden="1"/>
    <cellStyle name="Setting" xfId="50"/>
    <cellStyle name="Title" xfId="6" builtinId="15" hidden="1"/>
    <cellStyle name="Title" xfId="49" builtinId="15" customBuiltin="1"/>
    <cellStyle name="Total" xfId="22" builtinId="25" hidden="1"/>
    <cellStyle name="Total" xfId="54" builtinId="25" customBuiltin="1"/>
    <cellStyle name="Warning Text" xfId="19" builtinId="11" hidden="1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1638300</xdr:colOff>
      <xdr:row>0</xdr:row>
      <xdr:rowOff>38100</xdr:rowOff>
    </xdr:from>
    <xdr:to>
      <xdr:col>8</xdr:col>
      <xdr:colOff>2667</xdr:colOff>
      <xdr:row>1</xdr:row>
      <xdr:rowOff>371856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5900" y="38100"/>
          <a:ext cx="1078992" cy="524256"/>
        </a:xfrm>
        <a:prstGeom prst="rect">
          <a:avLst/>
        </a:prstGeom>
      </xdr:spPr>
    </xdr:pic>
    <xdr:clientData/>
  </xdr:twoCellAnchor>
  <xdr:twoCellAnchor>
    <xdr:from>
      <xdr:col>7</xdr:col>
      <xdr:colOff>971550</xdr:colOff>
      <xdr:row>18</xdr:row>
      <xdr:rowOff>57150</xdr:rowOff>
    </xdr:from>
    <xdr:to>
      <xdr:col>8</xdr:col>
      <xdr:colOff>9525</xdr:colOff>
      <xdr:row>19</xdr:row>
      <xdr:rowOff>142875</xdr:rowOff>
    </xdr:to>
    <xdr:sp macro="[0]!runProc" textlink="">
      <xdr:nvSpPr>
        <xdr:cNvPr id="3" name="Rectangle 2"/>
        <xdr:cNvSpPr/>
      </xdr:nvSpPr>
      <xdr:spPr>
        <a:xfrm>
          <a:off x="4629150" y="5648325"/>
          <a:ext cx="1752600" cy="266700"/>
        </a:xfrm>
        <a:prstGeom prst="rect">
          <a:avLst/>
        </a:prstGeom>
        <a:gradFill flip="none" rotWithShape="1">
          <a:gsLst>
            <a:gs pos="0">
              <a:schemeClr val="accent3">
                <a:shade val="30000"/>
                <a:satMod val="115000"/>
              </a:schemeClr>
            </a:gs>
            <a:gs pos="50000">
              <a:schemeClr val="accent3">
                <a:shade val="67500"/>
                <a:satMod val="115000"/>
              </a:schemeClr>
            </a:gs>
            <a:gs pos="100000">
              <a:schemeClr val="accent3"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</a:rPr>
            <a:t>Create</a:t>
          </a:r>
          <a:r>
            <a:rPr lang="en-GB" sz="1100" b="1" baseline="0">
              <a:solidFill>
                <a:schemeClr val="tx1"/>
              </a:solidFill>
            </a:rPr>
            <a:t> Employee</a:t>
          </a:r>
          <a:endParaRPr lang="en-GB" sz="1100" b="1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DTLK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Faroe Colours">
      <a:dk1>
        <a:srgbClr val="0A2F6C"/>
      </a:dk1>
      <a:lt1>
        <a:srgbClr val="00A2DD"/>
      </a:lt1>
      <a:dk2>
        <a:srgbClr val="FF983A"/>
      </a:dk2>
      <a:lt2>
        <a:srgbClr val="FA4440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100"/>
  <sheetViews>
    <sheetView showGridLines="0" tabSelected="1" workbookViewId="0">
      <selection activeCell="H5" sqref="H5"/>
    </sheetView>
  </sheetViews>
  <sheetFormatPr defaultColWidth="0" defaultRowHeight="14.25" zeroHeight="1" x14ac:dyDescent="0.2"/>
  <cols>
    <col min="1" max="1" width="14.875" bestFit="1" customWidth="1"/>
    <col min="2" max="2" width="8.625" customWidth="1"/>
    <col min="3" max="5" width="1" customWidth="1"/>
    <col min="6" max="6" width="3.875" customWidth="1"/>
    <col min="7" max="7" width="19.5" customWidth="1"/>
    <col min="8" max="8" width="35.625" customWidth="1"/>
    <col min="9" max="9" width="2.5" customWidth="1"/>
    <col min="10" max="16382" width="9" hidden="1"/>
    <col min="16383" max="16383" width="1.375" hidden="1" customWidth="1"/>
    <col min="16384" max="16384" width="2" hidden="1" customWidth="1"/>
  </cols>
  <sheetData>
    <row r="1" spans="1:9" ht="15" x14ac:dyDescent="0.25">
      <c r="A1" s="5" t="str">
        <f ca="1">MID(CELL("filename"),SEARCH("[",CELL("filename"))+1, SEARCH("]",CELL("filename"))-SEARCH("[",CELL("filename"))-6)</f>
        <v>New Employee</v>
      </c>
      <c r="B1" s="4"/>
      <c r="C1" s="4"/>
      <c r="D1" s="1"/>
    </row>
    <row r="2" spans="1:9" ht="35.25" x14ac:dyDescent="0.5">
      <c r="A2" s="4"/>
      <c r="B2" s="4"/>
      <c r="C2" s="4"/>
      <c r="D2" s="1"/>
      <c r="F2" s="3" t="str">
        <f ca="1">MID(CELL("filename"),SEARCH("[",CELL("filename"))+1, SEARCH("]",CELL("filename"))-SEARCH("[",CELL("filename"))-6)</f>
        <v>New Employee</v>
      </c>
    </row>
    <row r="3" spans="1:9" ht="15" x14ac:dyDescent="0.25">
      <c r="A3" s="5" t="s">
        <v>0</v>
      </c>
      <c r="B3" s="4"/>
      <c r="C3" s="4"/>
      <c r="D3" s="1"/>
    </row>
    <row r="4" spans="1:9" ht="15" thickBot="1" x14ac:dyDescent="0.25">
      <c r="A4" s="4" t="s">
        <v>16</v>
      </c>
      <c r="B4" s="2" t="s">
        <v>41</v>
      </c>
      <c r="C4" s="4"/>
      <c r="D4" s="1"/>
    </row>
    <row r="5" spans="1:9" x14ac:dyDescent="0.2">
      <c r="A5" s="4"/>
      <c r="B5" s="4"/>
      <c r="C5" s="4"/>
      <c r="D5" s="1"/>
      <c r="F5" s="25" t="s">
        <v>38</v>
      </c>
      <c r="G5" s="13" t="s">
        <v>4</v>
      </c>
      <c r="H5" s="9"/>
      <c r="I5" s="15" t="s">
        <v>24</v>
      </c>
    </row>
    <row r="6" spans="1:9" ht="15" x14ac:dyDescent="0.25">
      <c r="A6" s="5" t="s">
        <v>1</v>
      </c>
      <c r="B6" s="4"/>
      <c r="C6" s="4"/>
      <c r="D6" s="1"/>
      <c r="F6" s="26"/>
      <c r="G6" s="20" t="s">
        <v>36</v>
      </c>
      <c r="H6" s="22"/>
      <c r="I6" s="15" t="s">
        <v>24</v>
      </c>
    </row>
    <row r="7" spans="1:9" x14ac:dyDescent="0.2">
      <c r="A7" s="4" t="s">
        <v>2</v>
      </c>
      <c r="B7" s="6" t="s">
        <v>3</v>
      </c>
      <c r="C7" s="4"/>
      <c r="D7" s="1"/>
      <c r="F7" s="26"/>
      <c r="G7" s="20" t="s">
        <v>35</v>
      </c>
      <c r="H7" s="22"/>
      <c r="I7" s="15"/>
    </row>
    <row r="8" spans="1:9" ht="15" thickBot="1" x14ac:dyDescent="0.25">
      <c r="A8" s="4" t="s">
        <v>15</v>
      </c>
      <c r="B8" s="12" t="str">
        <f ca="1">[1]!AG_DTLK("0,2,SS5,ND2,F={P}1,K=DbC,F=17,K=/ND2/1,F={P}2,K=/ND2/Cde,E=0,O=/ND2/Cde,",Process!B8,businessUnit,$H$16)</f>
        <v>GB</v>
      </c>
      <c r="C8" s="4"/>
      <c r="D8" s="1"/>
      <c r="F8" s="27"/>
      <c r="G8" s="21" t="s">
        <v>37</v>
      </c>
      <c r="H8" s="24" t="s">
        <v>42</v>
      </c>
      <c r="I8" s="15" t="s">
        <v>24</v>
      </c>
    </row>
    <row r="9" spans="1:9" x14ac:dyDescent="0.2">
      <c r="A9" s="4" t="s">
        <v>26</v>
      </c>
      <c r="B9" s="17" t="s">
        <v>27</v>
      </c>
      <c r="C9" s="4"/>
      <c r="D9" s="1"/>
      <c r="F9" s="28" t="s">
        <v>23</v>
      </c>
      <c r="G9" s="14" t="s">
        <v>5</v>
      </c>
      <c r="H9" s="10"/>
      <c r="I9" s="15"/>
    </row>
    <row r="10" spans="1:9" x14ac:dyDescent="0.2">
      <c r="A10" s="4" t="s">
        <v>40</v>
      </c>
      <c r="B10" s="23" t="str">
        <f ca="1">[1]!AG_DTLK("0,2,SS5,ND2,F={P}1,K=DbC,F=02,K=/ND2/1,F={P}2,K=/ND2/Cde,E=0,O=/ND2/Cde,",Process!B10,businessUnit,$H$6)</f>
        <v>900121</v>
      </c>
      <c r="D10" s="1"/>
      <c r="F10" s="29"/>
      <c r="G10" s="14" t="s">
        <v>6</v>
      </c>
      <c r="H10" s="10"/>
      <c r="I10" s="15" t="str">
        <f ca="1">IF(accountName="","","**")</f>
        <v/>
      </c>
    </row>
    <row r="11" spans="1:9" ht="15" customHeight="1" x14ac:dyDescent="0.2">
      <c r="D11" s="1"/>
      <c r="F11" s="29"/>
      <c r="G11" s="14" t="s">
        <v>7</v>
      </c>
      <c r="H11" s="19"/>
      <c r="I11" s="15" t="str">
        <f ca="1">IF(accountName="","","*")</f>
        <v/>
      </c>
    </row>
    <row r="12" spans="1:9" ht="15" x14ac:dyDescent="0.25">
      <c r="A12" s="7" t="s">
        <v>17</v>
      </c>
      <c r="B12" s="4"/>
      <c r="C12" s="4"/>
      <c r="D12" s="1"/>
      <c r="F12" s="29"/>
      <c r="G12" s="14" t="s">
        <v>8</v>
      </c>
      <c r="H12" s="10"/>
      <c r="I12" s="15"/>
    </row>
    <row r="13" spans="1:9" x14ac:dyDescent="0.2">
      <c r="A13" t="s">
        <v>18</v>
      </c>
      <c r="B13" s="12">
        <f ca="1">[1]!AG_DTLK("0,2,SS5,CA,F={P}1,K=DbC,F=&lt;ALL&gt;,K=/CA/AccTyp,F={P}2,K=/CA/Cde,E=9,O=Exists{Fmt}=5{Cm}0{DefVal}={Formula}=1,",Process!B13,businessUnit,account)</f>
        <v>0</v>
      </c>
      <c r="C13" s="4"/>
      <c r="D13" s="1"/>
      <c r="F13" s="29"/>
      <c r="G13" s="14" t="s">
        <v>9</v>
      </c>
      <c r="H13" s="10"/>
      <c r="I13" s="15"/>
    </row>
    <row r="14" spans="1:9" ht="14.25" customHeight="1" x14ac:dyDescent="0.2">
      <c r="A14" t="s">
        <v>19</v>
      </c>
      <c r="B14" s="12">
        <f ca="1">[1]!AG_DTLK("0,2,SS5,CA,F={P}1,K=DbC,F=&lt;ALL&gt;,K=/CA/AccTyp,F=*?C,K=/CA/Cde,F={P}2,K=/CA/Nme,E=9,O=Exists{Fmt}=5{Cm}0{DefVal}={Formula}=1,",Process!B14,businessUnit,employeeName)</f>
        <v>0</v>
      </c>
      <c r="C14" s="4"/>
      <c r="D14" s="1"/>
      <c r="F14" s="29"/>
      <c r="G14" s="14" t="s">
        <v>10</v>
      </c>
      <c r="H14" s="10"/>
      <c r="I14" s="15" t="str">
        <f ca="1">IF(accountName="","","*")</f>
        <v/>
      </c>
    </row>
    <row r="15" spans="1:9" ht="14.25" customHeight="1" x14ac:dyDescent="0.2">
      <c r="A15" s="8"/>
      <c r="B15" s="12"/>
      <c r="C15" s="4"/>
      <c r="D15" s="1"/>
      <c r="F15" s="29"/>
      <c r="G15" s="14" t="s">
        <v>11</v>
      </c>
      <c r="H15" s="10"/>
      <c r="I15" s="15" t="str">
        <f ca="1">IF(accountName="","","*")</f>
        <v/>
      </c>
    </row>
    <row r="16" spans="1:9" ht="14.25" customHeight="1" x14ac:dyDescent="0.25">
      <c r="A16" s="7" t="s">
        <v>20</v>
      </c>
      <c r="B16" s="6"/>
      <c r="C16" s="4"/>
      <c r="D16" s="1"/>
      <c r="F16" s="29"/>
      <c r="G16" s="14" t="s">
        <v>12</v>
      </c>
      <c r="H16" s="10"/>
      <c r="I16" s="15" t="str">
        <f ca="1">IF(accountName="","","*")</f>
        <v/>
      </c>
    </row>
    <row r="17" spans="1:9" x14ac:dyDescent="0.2">
      <c r="A17" t="s">
        <v>39</v>
      </c>
      <c r="B17" s="12">
        <f ca="1">[1]!AG_DTLK("0,2,SS5,ND2,F={P}1,K=DbC,F=04,K=/ND2/1,F={P}2,K=/ND2/Cde,E=9,O=Status{Fmt}=5{Cm}0{DefVal}={Formula}=1,",Process!B17,businessUnit,account)</f>
        <v>0</v>
      </c>
      <c r="C17" s="4"/>
      <c r="D17" s="1"/>
      <c r="F17" s="29"/>
      <c r="G17" s="14" t="s">
        <v>13</v>
      </c>
      <c r="H17" s="10"/>
      <c r="I17" s="15"/>
    </row>
    <row r="18" spans="1:9" ht="14.25" customHeight="1" x14ac:dyDescent="0.2">
      <c r="A18" t="s">
        <v>22</v>
      </c>
      <c r="B18" s="12" t="str">
        <f ca="1">[1]!AG_DTLK("0,2,SS5,BK,F={P}1,K=DbC,F={P}2,K=/BK/Cde,F={P}3,K=/BK/Seq,E=9,O=Status{Fmt}=5{Cm}0{DefVal}={Formula}=1,",Process!B18,businessUnit,account,bankSubcode)</f>
        <v>??</v>
      </c>
      <c r="C18" s="4"/>
      <c r="D18" s="1"/>
      <c r="F18" s="29"/>
      <c r="G18" s="14" t="s">
        <v>14</v>
      </c>
      <c r="H18" s="19"/>
      <c r="I18" s="15"/>
    </row>
    <row r="19" spans="1:9" ht="15" customHeight="1" x14ac:dyDescent="0.2">
      <c r="A19" t="s">
        <v>21</v>
      </c>
      <c r="B19" s="12">
        <f ca="1">[1]!AG_DTLK("0,2,SS5,CA,F={P}1,K=DbC,F=&lt;ALL&gt;,K=/CA/AccTyp,F={P}2,K=/CA/Cde,E=9,O=Status{Fmt}=5{Cm}0{DefVal}={Formula}=1,",Process!B19,businessUnit,account)</f>
        <v>0</v>
      </c>
      <c r="C19" s="4"/>
      <c r="D19" s="1"/>
      <c r="I19" s="15"/>
    </row>
    <row r="20" spans="1:9" ht="14.25" customHeight="1" x14ac:dyDescent="0.2">
      <c r="B20" s="12"/>
      <c r="C20" s="4"/>
      <c r="D20" s="1"/>
      <c r="I20" s="15"/>
    </row>
    <row r="21" spans="1:9" ht="14.25" customHeight="1" x14ac:dyDescent="0.2">
      <c r="A21" s="4"/>
      <c r="B21" s="11"/>
      <c r="C21" s="4"/>
      <c r="D21" s="1"/>
      <c r="F21" s="16" t="s">
        <v>24</v>
      </c>
      <c r="G21" t="s">
        <v>25</v>
      </c>
    </row>
    <row r="22" spans="1:9" ht="14.25" customHeight="1" x14ac:dyDescent="0.2">
      <c r="A22" s="4"/>
      <c r="B22" s="11"/>
      <c r="C22" s="4"/>
      <c r="D22" s="1"/>
    </row>
    <row r="23" spans="1:9" ht="14.25" hidden="1" customHeight="1" x14ac:dyDescent="0.2">
      <c r="A23" s="4"/>
      <c r="B23" s="11"/>
      <c r="C23" s="4"/>
      <c r="D23" s="4"/>
      <c r="F23" s="16"/>
    </row>
    <row r="24" spans="1:9" ht="14.25" hidden="1" customHeight="1" x14ac:dyDescent="0.2">
      <c r="A24" s="4"/>
      <c r="B24" s="11"/>
      <c r="C24" s="4"/>
      <c r="D24" s="4"/>
    </row>
    <row r="25" spans="1:9" ht="14.25" hidden="1" customHeight="1" x14ac:dyDescent="0.2">
      <c r="A25" s="4"/>
      <c r="B25" s="11"/>
      <c r="C25" s="4"/>
      <c r="D25" s="4"/>
    </row>
    <row r="26" spans="1:9" hidden="1" x14ac:dyDescent="0.2">
      <c r="A26" s="4"/>
      <c r="B26" s="11"/>
      <c r="C26" s="4"/>
      <c r="D26" s="4"/>
    </row>
    <row r="27" spans="1:9" hidden="1" x14ac:dyDescent="0.2">
      <c r="A27" s="4"/>
      <c r="B27" s="11"/>
      <c r="C27" s="4"/>
      <c r="D27" s="4"/>
    </row>
    <row r="28" spans="1:9" hidden="1" x14ac:dyDescent="0.2">
      <c r="A28" s="4"/>
      <c r="B28" s="11"/>
      <c r="C28" s="4"/>
      <c r="D28" s="4"/>
    </row>
    <row r="29" spans="1:9" hidden="1" x14ac:dyDescent="0.2">
      <c r="A29" s="4"/>
      <c r="B29" s="11"/>
      <c r="C29" s="4"/>
      <c r="D29" s="4"/>
    </row>
    <row r="30" spans="1:9" hidden="1" x14ac:dyDescent="0.2"/>
    <row r="31" spans="1:9" hidden="1" x14ac:dyDescent="0.2"/>
    <row r="32" spans="1:9" hidden="1" x14ac:dyDescent="0.2"/>
    <row r="33" spans="4:4" hidden="1" x14ac:dyDescent="0.2">
      <c r="D33" s="4"/>
    </row>
    <row r="34" spans="4:4" hidden="1" x14ac:dyDescent="0.2"/>
    <row r="35" spans="4:4" hidden="1" x14ac:dyDescent="0.2"/>
    <row r="36" spans="4:4" hidden="1" x14ac:dyDescent="0.2"/>
    <row r="37" spans="4:4" hidden="1" x14ac:dyDescent="0.2"/>
    <row r="38" spans="4:4" hidden="1" x14ac:dyDescent="0.2"/>
    <row r="39" spans="4:4" hidden="1" x14ac:dyDescent="0.2"/>
    <row r="40" spans="4:4" hidden="1" x14ac:dyDescent="0.2"/>
    <row r="41" spans="4:4" hidden="1" x14ac:dyDescent="0.2"/>
    <row r="42" spans="4:4" hidden="1" x14ac:dyDescent="0.2"/>
    <row r="43" spans="4:4" hidden="1" x14ac:dyDescent="0.2"/>
    <row r="44" spans="4:4" hidden="1" x14ac:dyDescent="0.2"/>
    <row r="45" spans="4:4" hidden="1" x14ac:dyDescent="0.2"/>
    <row r="46" spans="4:4" hidden="1" x14ac:dyDescent="0.2"/>
    <row r="47" spans="4:4" hidden="1" x14ac:dyDescent="0.2"/>
    <row r="48" spans="4:4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</sheetData>
  <mergeCells count="2">
    <mergeCell ref="F5:F8"/>
    <mergeCell ref="F9:F18"/>
  </mergeCells>
  <dataValidations count="6">
    <dataValidation type="textLength" errorStyle="information" allowBlank="1" showInputMessage="1" showErrorMessage="1" error="XLBVal:8=_x000d__x000a_" sqref="B15">
      <formula1>0</formula1>
      <formula2>300</formula2>
    </dataValidation>
    <dataValidation type="textLength" errorStyle="information" allowBlank="1" showInputMessage="1" showErrorMessage="1" error="XLBVal:2=0_x000d__x000a_" sqref="B13:B14 B17 B19">
      <formula1>0</formula1>
      <formula2>300</formula2>
    </dataValidation>
    <dataValidation type="textLength" errorStyle="information" allowBlank="1" showInputMessage="1" showErrorMessage="1" error="XLBVal:8=GB_x000d__x000a_" sqref="B8">
      <formula1>0</formula1>
      <formula2>300</formula2>
    </dataValidation>
    <dataValidation type="textLength" errorStyle="information" allowBlank="1" showInputMessage="1" showErrorMessage="1" error="XLBVal:5=1_x000d__x000a_" sqref="B18 B20">
      <formula1>0</formula1>
      <formula2>300</formula2>
    </dataValidation>
    <dataValidation type="list" allowBlank="1" showInputMessage="1" showErrorMessage="1" sqref="H7">
      <formula1>"Requisitioner,Approver"</formula1>
    </dataValidation>
    <dataValidation type="textLength" errorStyle="information" allowBlank="1" showInputMessage="1" showErrorMessage="1" error="XLBVal:8=900121_x000d__x000a_" sqref="B10">
      <formula1>0</formula1>
      <formula2>300</formula2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F0F0E9AF-892D-4EF1-B90D-C4CE5AB9426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" iconId="0"/>
            </x14:iconSet>
          </x14:cfRule>
          <xm:sqref>B13:B14</xm:sqref>
        </x14:conditionalFormatting>
        <x14:conditionalFormatting xmlns:xm="http://schemas.microsoft.com/office/excel/2006/main">
          <x14:cfRule type="iconSet" priority="1" id="{23CCABC6-52EC-45A2-A4BD-C0CDBD4E6037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14:cfRule type="iconSet" priority="4" id="{B47B8CCE-1290-4328-960B-FB8DF04D957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" iconId="2"/>
            </x14:iconSet>
          </x14:cfRule>
          <xm:sqref>B17:B20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/>
  </sheetViews>
  <sheetFormatPr defaultRowHeight="14.25" x14ac:dyDescent="0.2"/>
  <sheetData>
    <row r="1" spans="1:3" ht="409.5" x14ac:dyDescent="0.2">
      <c r="A1" t="s">
        <v>28</v>
      </c>
      <c r="B1" t="s">
        <v>29</v>
      </c>
      <c r="C1" s="18" t="s">
        <v>30</v>
      </c>
    </row>
    <row r="2" spans="1:3" ht="409.5" x14ac:dyDescent="0.2">
      <c r="A2" t="s">
        <v>31</v>
      </c>
      <c r="B2" t="s">
        <v>29</v>
      </c>
      <c r="C2" s="18" t="s">
        <v>32</v>
      </c>
    </row>
    <row r="3" spans="1:3" ht="409.5" x14ac:dyDescent="0.2">
      <c r="A3" t="s">
        <v>33</v>
      </c>
      <c r="B3" t="s">
        <v>29</v>
      </c>
      <c r="C3" s="18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Process</vt:lpstr>
      <vt:lpstr>account</vt:lpstr>
      <vt:lpstr>accountName</vt:lpstr>
      <vt:lpstr>bankSubcode</vt:lpstr>
      <vt:lpstr>businessUnit</vt:lpstr>
      <vt:lpstr>checkCode</vt:lpstr>
      <vt:lpstr>checkName</vt:lpstr>
      <vt:lpstr>chkAccount</vt:lpstr>
      <vt:lpstr>chkAnalysis</vt:lpstr>
      <vt:lpstr>chkBank</vt:lpstr>
      <vt:lpstr>chkSupplier</vt:lpstr>
      <vt:lpstr>curr</vt:lpstr>
      <vt:lpstr>emailAdd</vt:lpstr>
      <vt:lpstr>employeeName</vt:lpstr>
      <vt:lpstr>reconciler</vt:lpstr>
    </vt:vector>
  </TitlesOfParts>
  <Company>Faroe Petroleum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Simpson</dc:creator>
  <cp:lastModifiedBy>Richard Simpson</cp:lastModifiedBy>
  <dcterms:created xsi:type="dcterms:W3CDTF">2014-07-10T08:54:18Z</dcterms:created>
  <dcterms:modified xsi:type="dcterms:W3CDTF">2014-09-11T16:52:07Z</dcterms:modified>
</cp:coreProperties>
</file>