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75" windowWidth="19320" windowHeight="11760"/>
  </bookViews>
  <sheets>
    <sheet name="Process" sheetId="1" r:id="rId1"/>
    <sheet name="Ls_XLB_WorkbookFile" sheetId="5" state="veryHidden" r:id="rId2"/>
    <sheet name="Ls_AgXLB_WorkbookFile" sheetId="4" state="veryHidden" r:id="rId3"/>
  </sheets>
  <externalReferences>
    <externalReference r:id="rId4"/>
  </externalReferences>
  <definedNames>
    <definedName name="currasset">[1]Billing!$H$24</definedName>
    <definedName name="currpartner">[1]Billing!$B$16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C7" i="1" l="1"/>
  <c r="G7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<sst xmlns="http://schemas.openxmlformats.org/spreadsheetml/2006/main" count="49" uniqueCount="32">
  <si>
    <t>10001</t>
  </si>
  <si>
    <t>2;3;</t>
  </si>
  <si>
    <t>Equity Group</t>
  </si>
  <si>
    <t>EQ02</t>
  </si>
  <si>
    <t>JDYA001</t>
  </si>
  <si>
    <t>JEWE001</t>
  </si>
  <si>
    <t>JZEU001</t>
  </si>
  <si>
    <t>JTRA001</t>
  </si>
  <si>
    <t>Created By:</t>
  </si>
  <si>
    <t>Comments:</t>
  </si>
  <si>
    <t>Error Cell:</t>
  </si>
  <si>
    <t>Asset</t>
  </si>
  <si>
    <t>Equity</t>
  </si>
  <si>
    <t>Layout ID</t>
  </si>
  <si>
    <t>Equities Upload</t>
  </si>
  <si>
    <t>Partner</t>
  </si>
  <si>
    <t>Sun Equity</t>
  </si>
  <si>
    <t>&gt;&gt;Equity Import</t>
  </si>
  <si>
    <t>&gt;'lsd</t>
  </si>
  <si>
    <t>1;2;3;</t>
  </si>
  <si>
    <t>Period:</t>
  </si>
  <si>
    <t>&gt;&gt;Post Jrnl Mac</t>
  </si>
  <si>
    <t>&gt;'axb</t>
  </si>
  <si>
    <t xml:space="preserve">&gt;'[LASATA SETUP FILE]_x000D_
Date=2010-04-28 18:31:01_x000D_
FileType=Agora XLB MacroBuilder_x000D_
Version=0_x000D_
Buffer=_x000D_
@settngMacroName:Str=PostJrnl_x000D_
@settngMacroButtonCaption:Str=Post_x000D_
@settngMacroShortcutKey:Str=_x000D_
@recipeStep_RecalculateRange_42818301916000:Str=P0=C11:F1100,P1=,P2=_x000D_
@recipeStep_RunDataSend_42818304175000:Str=P0=Equity Import,P1=,P2=_x000D_
@filenmSetupfile:Str=_x000D_
@filenmWorkbookSetupFile:Str=Post Jrnl Mac_x000D_
</t>
  </si>
  <si>
    <t>JITH001</t>
  </si>
  <si>
    <t>&gt;&gt;macRecalc_Equities</t>
  </si>
  <si>
    <t xml:space="preserve">&gt;'[LASATA SETUP FILE]_x000D_
Date=2011-11-18 10:40:09_x000D_
FileType=Agora XLB MacroBuilder_x000D_
Version=0_x000D_
Buffer=_x000D_
@settngMacroName:Str=recalcEquities_x000D_
@settngMacroButtonCaption:Str=r_x000D_
@settngMacroShortcutKey:Str=_x000D_
@recipeStep_RecalculateWorksheet_111810391923000:Str=P0=[Equity Import.xls]Process,P1=,P2=_x000D_
@recipeStep_SelectRange_111810393206000:Str=P0=B16,P1=,P2=_x000D_
@filenmSetupfile:Str=_x000D_
@filenmWorkbookSetupFile:Str=macRecalc_Equities_x000D_
</t>
  </si>
  <si>
    <t xml:space="preserve">&gt;'[LASATA SETUP FILE]_x000D_
Date=2013-04-17 15:54:28_x000D_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ErrorReference:8=$G$7_x000D_
CommentReference:8=_x000D_
MatrixSend:11=0_x000D_
SkipBlanks:11=-1_x000D_
CSVDelimeter:8=_x000D_
CSVIncludeHeader:2=0_x000D_
MatrixReplicatorFieldOverrideNodePath:8=/LI Header/LI Detail/PERD_x000D_
Language:8=_x000D_
OutputFileNameOrig:8=_x000D_
SetupFileNameOrig:8=_x000D_
SetupFileType:2=2_x000D_
ShowMessages:2=1_x000D_
WorkBookSetupFileOrig:8=Equity Import_x000D_
LayoutIdetifierColumn:8=$G$11:$G$100_x000D_
Product:8=SS5_x000D_
SuperFieldKey:8=DbC_x000D_
SuperFieldValue:8=TRN_x000D_
FieldValueCodePath:8=/LI Header/DESCR_x000D_
FieldValueValue:8=Equities Upload_x000D_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Header/POST_OTHER_ACNT_x000D_
FieldValueValue:8=99999_x000D_
FieldValueCodePath:8=/LI Header/POST_SUSPENSE_ACNT_x000D_
FieldValueValue:8=99999_x000D_
FieldValueCodePath:8=/LI Header/POST_DFLT_PERD_x000D_
FieldValueValue:8=$G$3_x000D_
FieldValueCodePath:8=/LI Header/POST_RPT_ERR_ONLY_x000D_
FieldValueValue:8=Y_x000D_
FieldValueCodePath:8=/LI Header/POST_SUPPRESS_SUB_MSG_x000D_
FieldValueValue:8=Y_x000D_
FieldValueCodePath:8=/LI Header/JRNL_TYPE_x000D_
FieldValueValue:8=JNL_x000D_
FieldValueCodePath:8=/LI Header/POST_RPT_ACNT_x000D_
FieldValueValue:8=99999_x000D_
FieldValueCodePath:8=/LI Header/POST_LDG_x000D_
FieldValueValue:8=A_x000D_
FieldValueCodePath:8=/LI Header/LI Detail/ACNT_CODE_x000D_
FieldValueValue:8=ZZ100_x000D_
FieldValueCodePath:8=/LI Header/LI Detail/PERD_x000D_
FieldValueValue:8=$G$3_x000D_
FieldValueCodePath:8=/LI Header/LI Detail/JNL_SRCE_x000D_
FieldValueValue:8=_x000D_
FieldValueCodePath:8=/LI Header/LI Detail/TXN_REF_x000D_
FieldValueValue:8=Equities_x000D_
FieldValueCodePath:8=/LI Header/LI Detail/DESCR_x000D_
FieldValueValue:8=Equities Upload_x000D_
FieldValueCodePath:8=/LI Header/LI Detail/AMT_x000D_
FieldValueValue:8=F11_x000D_
FieldValueCodePath:8=/LI Header/LI Detail/DR_CR_IND_x000D_
FieldValueValue:8=_x000D_
FieldValueCodePath:8=/LI Header/LI Detail/CONV_CODE_x000D_
FieldValueValue:8=GBP_x000D_
FieldValueCodePath:8=/LI Header/LI Detail/TXN_AMT_x000D_
FieldValueValue:8=_x000D_
FieldValueCodePath:8=/LI Header/LI Detail/ANL_CODE_T1_x000D_
FieldValueValue:8=B11_x000D_
FieldValueCodePath:8=/LI Header/LI Detail/ANL_CODE_T4_x000D_
FieldValueValue:8=D11_x000D_
FieldValueCodePath:8=/LI Header/LI Detail/LI Detail LAD/PSTG_HDR_ID_x000D_
FieldValueValue:8=_x000D_
FieldValueCodePath:8=/LI Header/LI Detail/LI Detail LAD/GNRL_DESCR_09_x000D_
FieldValueValue:8=$C$7_x000D_
FieldValueCodePath:8=/LI Header/LI Detail/ANL_CODE_T2_x000D_
FieldValueValue:8=C11_x000D_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</si>
  <si>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|</t>
  </si>
  <si>
    <t>2009/009</t>
  </si>
  <si>
    <t>ttt</t>
  </si>
  <si>
    <t>ORD00100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</si>
</sst>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12" x14ac:knownFonts="1">
    <font>
      <sz val="10"/>
      <name val="Arial"/>
      <family val="2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u/>
      <sz val="15"/>
      <color indexed="18"/>
      <name val="Calibri"/>
      <family val="2"/>
      <scheme val="minor"/>
    </font>
    <font>
      <b/>
      <u/>
      <sz val="15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u/>
      <sz val="15"/>
      <color theme="3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3" borderId="0" applyNumberFormat="0">
      <alignment horizontal="center"/>
    </xf>
    <xf numFmtId="0" fontId="2" fillId="0" borderId="0" applyNumberFormat="0" applyAlignment="0">
      <alignment horizontal="centerContinuous"/>
    </xf>
  </cellStyleXfs>
  <cellXfs count="24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 applyBorder="1" applyAlignment="1">
      <alignment horizontal="right"/>
    </xf>
    <xf numFmtId="0" fontId="3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centerContinuous"/>
    </xf>
    <xf numFmtId="0" fontId="6" fillId="0" borderId="0" xfId="0" applyNumberFormat="1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Fill="1"/>
    <xf numFmtId="49" fontId="3" fillId="2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/>
    </xf>
    <xf numFmtId="164" fontId="3" fillId="2" borderId="0" xfId="0" applyNumberFormat="1" applyFont="1" applyFill="1" applyAlignment="1" applyProtection="1"/>
    <xf numFmtId="0" fontId="3" fillId="2" borderId="0" xfId="0" applyNumberFormat="1" applyFont="1" applyFill="1" applyAlignment="1" applyProtection="1"/>
    <xf numFmtId="0" fontId="2" fillId="0" borderId="0" xfId="2" applyNumberFormat="1" applyAlignment="1">
      <alignment horizontal="centerContinuous"/>
    </xf>
    <xf numFmtId="0" fontId="8" fillId="0" borderId="0" xfId="0" applyFont="1" applyBorder="1" applyAlignment="1">
      <alignment horizontal="right"/>
    </xf>
    <xf numFmtId="0" fontId="9" fillId="0" borderId="0" xfId="0" applyFont="1"/>
    <xf numFmtId="0" fontId="10" fillId="0" borderId="0" xfId="0" applyNumberFormat="1" applyFont="1" applyAlignment="1">
      <alignment horizontal="centerContinuous"/>
    </xf>
    <xf numFmtId="14" fontId="9" fillId="0" borderId="0" xfId="0" applyNumberFormat="1" applyFont="1" applyAlignment="1"/>
    <xf numFmtId="10" fontId="9" fillId="0" borderId="0" xfId="0" applyNumberFormat="1" applyFont="1" applyFill="1"/>
    <xf numFmtId="0" fontId="8" fillId="0" borderId="0" xfId="0" applyFont="1" applyAlignment="1">
      <alignment horizontal="right"/>
    </xf>
    <xf numFmtId="0" fontId="7" fillId="3" borderId="0" xfId="1">
      <alignment horizontal="center"/>
    </xf>
    <xf numFmtId="14" fontId="3" fillId="0" borderId="0" xfId="0" applyNumberFormat="1" applyFont="1" applyAlignment="1">
      <alignment horizontal="right"/>
    </xf>
  </cellXfs>
  <cellStyles count="3">
    <cellStyle name="Ith Header" xfId="1"/>
    <cellStyle name="Ith Title" xfId="2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7</xdr:row>
          <xdr:rowOff>85725</xdr:rowOff>
        </xdr:from>
        <xdr:to>
          <xdr:col>7</xdr:col>
          <xdr:colOff>0</xdr:colOff>
          <xdr:row>8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409575</xdr:colOff>
          <xdr:row>1</xdr:row>
          <xdr:rowOff>152400</xdr:rowOff>
        </xdr:from>
        <xdr:to>
          <xdr:col>38</xdr:col>
          <xdr:colOff>438150</xdr:colOff>
          <xdr:row>2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279963</xdr:colOff>
      <xdr:row>3</xdr:row>
      <xdr:rowOff>133350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61925"/>
          <a:ext cx="1823013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JV%20Billing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ing"/>
      <sheetName val="Ls_XLB_WorkbookFile"/>
      <sheetName val="Ls_AgXLB_WorkbookFile"/>
      <sheetName val="Line Detail"/>
      <sheetName val="Journal"/>
    </sheetNames>
    <sheetDataSet>
      <sheetData sheetId="0">
        <row r="16">
          <cell r="B16" t="str">
            <v>JDYA001</v>
          </cell>
        </row>
        <row r="24">
          <cell r="H24" t="str">
            <v>101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5"/>
  <sheetViews>
    <sheetView showGridLines="0" tabSelected="1" workbookViewId="0">
      <selection activeCell="C11" sqref="C11"/>
    </sheetView>
  </sheetViews>
  <sheetFormatPr defaultRowHeight="12.75" x14ac:dyDescent="0.2"/>
  <cols>
    <col min="1" max="1" width="1.7109375" style="2" customWidth="1"/>
    <col min="2" max="2" width="10.140625" style="2" bestFit="1" customWidth="1"/>
    <col min="3" max="3" width="13" style="2" customWidth="1"/>
    <col min="4" max="4" width="11.5703125" style="2" customWidth="1"/>
    <col min="5" max="5" width="10.7109375" style="2" customWidth="1"/>
    <col min="6" max="6" width="9.5703125" style="2" customWidth="1"/>
    <col min="7" max="7" width="13.28515625" style="2" customWidth="1"/>
    <col min="8" max="16384" width="9.140625" style="2"/>
  </cols>
  <sheetData>
    <row r="2" spans="1:9" x14ac:dyDescent="0.2">
      <c r="F2" s="16" t="s">
        <v>8</v>
      </c>
      <c r="G2" s="4" t="s">
        <v>30</v>
      </c>
    </row>
    <row r="3" spans="1:9" x14ac:dyDescent="0.2">
      <c r="F3" s="16" t="s">
        <v>20</v>
      </c>
      <c r="G3" s="23" t="s">
        <v>29</v>
      </c>
    </row>
    <row r="4" spans="1:9" x14ac:dyDescent="0.2">
      <c r="F4" s="17"/>
      <c r="G4" s="4"/>
      <c r="I4" s="2" t="s">
        <v>28</v>
      </c>
    </row>
    <row r="5" spans="1:9" ht="19.5" x14ac:dyDescent="0.3">
      <c r="B5" s="15" t="s">
        <v>14</v>
      </c>
      <c r="C5" s="5"/>
      <c r="D5" s="6"/>
      <c r="E5" s="7"/>
      <c r="F5" s="18"/>
      <c r="G5" s="7"/>
    </row>
    <row r="6" spans="1:9" x14ac:dyDescent="0.2">
      <c r="F6" s="19"/>
    </row>
    <row r="7" spans="1:9" x14ac:dyDescent="0.2">
      <c r="B7" s="21" t="s">
        <v>9</v>
      </c>
      <c r="C7" s="9" t="str">
        <f ca="1">B5&amp;" "&amp;TEXT(TODAY(),"DD/MM/YY")</f>
        <v>Equities Upload 06/11/13</v>
      </c>
      <c r="F7" s="16" t="s">
        <v>10</v>
      </c>
      <c r="G7" s="10">
        <f>COUNTIF($G$11:$G$987,"1;2;3;")+COUNTIF($G$11:$G$987,"2;3;")</f>
        <v>5</v>
      </c>
    </row>
    <row r="8" spans="1:9" x14ac:dyDescent="0.2">
      <c r="B8" s="8"/>
      <c r="C8" s="9"/>
      <c r="E8" s="3"/>
      <c r="F8" s="20"/>
    </row>
    <row r="10" spans="1:9" x14ac:dyDescent="0.2">
      <c r="B10" s="22" t="s">
        <v>11</v>
      </c>
      <c r="C10" s="22" t="s">
        <v>2</v>
      </c>
      <c r="D10" s="22" t="s">
        <v>15</v>
      </c>
      <c r="E10" s="22" t="s">
        <v>12</v>
      </c>
      <c r="F10" s="22" t="s">
        <v>16</v>
      </c>
      <c r="G10" s="22" t="s">
        <v>13</v>
      </c>
    </row>
    <row r="11" spans="1:9" x14ac:dyDescent="0.2">
      <c r="A11" s="2" t="s">
        <v>28</v>
      </c>
      <c r="B11" s="11" t="s">
        <v>0</v>
      </c>
      <c r="C11" s="12" t="s">
        <v>3</v>
      </c>
      <c r="D11" s="12" t="s">
        <v>24</v>
      </c>
      <c r="E11" s="13">
        <v>0.22500000000000001</v>
      </c>
      <c r="F11" s="14">
        <f>E11*10000000</f>
        <v>2250000</v>
      </c>
      <c r="G11" s="14" t="s">
        <v>19</v>
      </c>
      <c r="I11" s="2" t="s">
        <v>31</v>
      </c>
    </row>
    <row r="12" spans="1:9" x14ac:dyDescent="0.2">
      <c r="A12" s="2" t="s">
        <v>28</v>
      </c>
      <c r="B12" s="11" t="s">
        <v>0</v>
      </c>
      <c r="C12" s="12" t="s">
        <v>3</v>
      </c>
      <c r="D12" s="12" t="s">
        <v>4</v>
      </c>
      <c r="E12" s="13">
        <v>0.32500000000000001</v>
      </c>
      <c r="F12" s="14">
        <f>E12*10000000</f>
        <v>3250000</v>
      </c>
      <c r="G12" s="14" t="s">
        <v>1</v>
      </c>
    </row>
    <row r="13" spans="1:9" x14ac:dyDescent="0.2">
      <c r="A13" s="2" t="s">
        <v>28</v>
      </c>
      <c r="B13" s="11" t="s">
        <v>0</v>
      </c>
      <c r="C13" s="12" t="s">
        <v>3</v>
      </c>
      <c r="D13" s="12" t="s">
        <v>5</v>
      </c>
      <c r="E13" s="13">
        <v>0.2</v>
      </c>
      <c r="F13" s="14">
        <f>E13*10000000</f>
        <v>2000000</v>
      </c>
      <c r="G13" s="14" t="s">
        <v>1</v>
      </c>
    </row>
    <row r="14" spans="1:9" x14ac:dyDescent="0.2">
      <c r="A14" s="2" t="s">
        <v>28</v>
      </c>
      <c r="B14" s="11" t="s">
        <v>0</v>
      </c>
      <c r="C14" s="12" t="s">
        <v>3</v>
      </c>
      <c r="D14" s="12" t="s">
        <v>6</v>
      </c>
      <c r="E14" s="13">
        <v>0.1</v>
      </c>
      <c r="F14" s="14">
        <f>E14*10000000</f>
        <v>1000000</v>
      </c>
      <c r="G14" s="14" t="s">
        <v>1</v>
      </c>
    </row>
    <row r="15" spans="1:9" x14ac:dyDescent="0.2">
      <c r="A15" s="2" t="s">
        <v>28</v>
      </c>
      <c r="B15" s="11" t="s">
        <v>0</v>
      </c>
      <c r="C15" s="12" t="s">
        <v>3</v>
      </c>
      <c r="D15" s="12" t="s">
        <v>7</v>
      </c>
      <c r="E15" s="13">
        <v>0.15</v>
      </c>
      <c r="F15" s="14">
        <f>E15*10000000</f>
        <v>1500000</v>
      </c>
      <c r="G15" s="14" t="s">
        <v>1</v>
      </c>
    </row>
  </sheetData>
  <phoneticPr fontId="0" type="noConversion"/>
  <dataValidations count="4">
    <dataValidation type="textLength" errorStyle="information" allowBlank="1" showInputMessage="1" showErrorMessage="1" error="XLBVal:8=SBO_x000d__x000a_" sqref="G2 G4">
      <formula1>0</formula1>
      <formula2>300</formula2>
    </dataValidation>
    <dataValidation type="textLength" errorStyle="information" allowBlank="1" showInputMessage="1" showErrorMessage="1" error="XLBVal:8=2013/002_x000d__x000a_" sqref="G3">
      <formula1>0</formula1>
      <formula2>300</formula2>
    </dataValidation>
    <dataValidation type="textLength" errorStyle="information" allowBlank="1" showInputMessage="1" showErrorMessage="1" error="XLBVal:8=Brenda Gallow - Approval Control Desk_x000d__x000a_" sqref="B5:D5 F5">
      <formula1>0</formula1>
      <formula2>300</formula2>
    </dataValidation>
    <dataValidation type="textLength" errorStyle="information" allowBlank="1" showInputMessage="1" showErrorMessage="1" error="XLBVal:8=_x000d__x000a_" sqref="F6">
      <formula1>0</formula1>
      <formula2>30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LaunchRoutine_42818310234000">
                <anchor moveWithCells="1" sizeWithCells="1">
                  <from>
                    <xdr:col>5</xdr:col>
                    <xdr:colOff>600075</xdr:colOff>
                    <xdr:row>7</xdr:row>
                    <xdr:rowOff>85725</xdr:rowOff>
                  </from>
                  <to>
                    <xdr:col>7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LaunchRoutine_111810400986000">
                <anchor moveWithCells="1" sizeWithCells="1">
                  <from>
                    <xdr:col>38</xdr:col>
                    <xdr:colOff>409575</xdr:colOff>
                    <xdr:row>1</xdr:row>
                    <xdr:rowOff>152400</xdr:rowOff>
                  </from>
                  <to>
                    <xdr:col>38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/>
  </sheetViews>
  <sheetFormatPr defaultRowHeight="12.75" x14ac:dyDescent="0.2"/>
  <sheetData>
    <row r="1" spans="1:3" ht="409.5" x14ac:dyDescent="0.2">
      <c r="A1" t="s">
        <v>17</v>
      </c>
      <c r="B1" t="s">
        <v>18</v>
      </c>
      <c r="C1" s="1" t="s">
        <v>27</v>
      </c>
    </row>
    <row r="2" spans="1:3" ht="409.5" x14ac:dyDescent="0.2">
      <c r="A2" t="s">
        <v>21</v>
      </c>
      <c r="B2" t="s">
        <v>22</v>
      </c>
      <c r="C2" s="1" t="s">
        <v>23</v>
      </c>
    </row>
    <row r="3" spans="1:3" ht="409.5" x14ac:dyDescent="0.2">
      <c r="A3" t="s">
        <v>25</v>
      </c>
      <c r="B3" t="s">
        <v>22</v>
      </c>
      <c r="C3" s="1" t="s">
        <v>26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2017-10-13T09:48:23Z</dcterms:modified>
</cp:coreProperties>
</file>