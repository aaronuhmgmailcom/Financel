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730" windowHeight="7560"/>
  </bookViews>
  <sheets>
    <sheet name="Process" sheetId="1" r:id="rId1"/>
    <sheet name="Ls_XLB_WorkbookFile" sheetId="3" state="veryHidden" r:id="rId2"/>
    <sheet name="Ls_AgXLB_WorkbookFile" sheetId="2" state="veryHidden" r:id="rId3"/>
  </sheets>
  <externalReferences>
    <externalReference r:id="rId4"/>
    <externalReference r:id="rId5"/>
  </externalReferences>
  <definedNames>
    <definedName name="bankAcct">Process!$D$10</definedName>
    <definedName name="bankEntity">Process!$D$15</definedName>
    <definedName name="businessUnit">Process!$D$13</definedName>
    <definedName name="entity">Process!$D$7</definedName>
    <definedName name="group">Process!$D$6</definedName>
    <definedName name="jrnl">Process!$D$9</definedName>
    <definedName name="period">Process!$D$4</definedName>
    <definedName name="periodDefault">Process!$D$14</definedName>
    <definedName name="periodTo">Process!$D$5</definedName>
    <definedName name="returnDate">Process!$D$8</definedName>
  </definedName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1" l="1"/>
  <c r="M10" i="1"/>
  <c r="M9" i="1"/>
  <c r="M8" i="1"/>
  <c r="M7" i="1"/>
  <c r="M5" i="1"/>
  <c r="U12" i="1" l="1"/>
  <c r="V12" i="1"/>
  <c r="W12" i="1"/>
  <c r="Y12" i="1"/>
  <c r="AA12" i="1"/>
  <c r="AB12" i="1"/>
  <c r="U14" i="1"/>
  <c r="V14" i="1"/>
  <c r="W14" i="1"/>
  <c r="Y14" i="1"/>
  <c r="AA14" i="1"/>
  <c r="AB14" i="1"/>
  <c r="K120" i="1"/>
  <c r="M120" i="1"/>
  <c r="U124" i="1"/>
  <c r="V124" i="1"/>
  <c r="W124" i="1"/>
  <c r="Y124" i="1"/>
  <c r="AA124" i="1"/>
  <c r="AB124" i="1"/>
  <c r="U126" i="1"/>
  <c r="V126" i="1"/>
  <c r="W126" i="1"/>
  <c r="Y126" i="1"/>
  <c r="AA126" i="1"/>
  <c r="AB126" i="1"/>
  <c r="U132" i="1"/>
  <c r="V132" i="1"/>
  <c r="W132" i="1"/>
  <c r="Y132" i="1"/>
  <c r="AA132" i="1"/>
  <c r="AB132" i="1"/>
  <c r="U134" i="1"/>
  <c r="V134" i="1"/>
  <c r="W134" i="1"/>
  <c r="Y134" i="1"/>
  <c r="AA134" i="1"/>
  <c r="AB134" i="1"/>
  <c r="U136" i="1"/>
  <c r="V136" i="1"/>
  <c r="W136" i="1"/>
  <c r="Y136" i="1"/>
  <c r="AA136" i="1"/>
  <c r="AB136" i="1"/>
  <c r="U139" i="1"/>
  <c r="V139" i="1"/>
  <c r="W139" i="1"/>
  <c r="Y139" i="1"/>
  <c r="AA139" i="1"/>
  <c r="AB139" i="1"/>
  <c r="U142" i="1"/>
  <c r="V142" i="1"/>
  <c r="W142" i="1"/>
  <c r="Y142" i="1"/>
  <c r="AA142" i="1"/>
  <c r="AB142" i="1"/>
  <c r="U145" i="1"/>
  <c r="V145" i="1"/>
  <c r="W145" i="1"/>
  <c r="Y145" i="1"/>
  <c r="AA145" i="1"/>
  <c r="AB145" i="1"/>
  <c r="U155" i="1"/>
  <c r="V155" i="1"/>
  <c r="W155" i="1"/>
  <c r="Y155" i="1"/>
  <c r="AA155" i="1"/>
  <c r="AB155" i="1"/>
  <c r="U157" i="1"/>
  <c r="V157" i="1"/>
  <c r="W157" i="1"/>
  <c r="Y157" i="1"/>
  <c r="AA157" i="1"/>
  <c r="AB157" i="1"/>
  <c r="U162" i="1"/>
  <c r="V162" i="1"/>
  <c r="W162" i="1"/>
  <c r="Y162" i="1"/>
  <c r="AA162" i="1"/>
  <c r="AB162" i="1"/>
  <c r="U165" i="1"/>
  <c r="V165" i="1"/>
  <c r="W165" i="1"/>
  <c r="Y165" i="1"/>
  <c r="AA165" i="1"/>
  <c r="AB165" i="1"/>
  <c r="U167" i="1"/>
  <c r="V167" i="1"/>
  <c r="W167" i="1"/>
  <c r="Y167" i="1"/>
  <c r="AA167" i="1"/>
  <c r="AB167" i="1"/>
  <c r="U169" i="1"/>
  <c r="V169" i="1"/>
  <c r="W169" i="1"/>
  <c r="Y169" i="1"/>
  <c r="AA169" i="1"/>
  <c r="AB169" i="1"/>
  <c r="U178" i="1"/>
  <c r="V178" i="1"/>
  <c r="W178" i="1"/>
  <c r="Y178" i="1"/>
  <c r="AA178" i="1"/>
  <c r="AB178" i="1"/>
  <c r="U180" i="1"/>
  <c r="V180" i="1"/>
  <c r="W180" i="1"/>
  <c r="Y180" i="1"/>
  <c r="AA180" i="1"/>
  <c r="AB180" i="1"/>
  <c r="U189" i="1"/>
  <c r="V189" i="1"/>
  <c r="W189" i="1"/>
  <c r="Y189" i="1"/>
  <c r="AA189" i="1"/>
  <c r="AB189" i="1"/>
  <c r="U205" i="1"/>
  <c r="V205" i="1"/>
  <c r="W205" i="1"/>
  <c r="Y205" i="1"/>
  <c r="AA205" i="1"/>
  <c r="AB205" i="1"/>
  <c r="U218" i="1"/>
  <c r="V218" i="1"/>
  <c r="W218" i="1"/>
  <c r="Y218" i="1"/>
  <c r="AA218" i="1"/>
  <c r="AB218" i="1"/>
  <c r="U236" i="1"/>
  <c r="V236" i="1"/>
  <c r="W236" i="1"/>
  <c r="Y236" i="1"/>
  <c r="AA236" i="1"/>
  <c r="AB236" i="1"/>
  <c r="U240" i="1"/>
  <c r="V240" i="1"/>
  <c r="W240" i="1"/>
  <c r="Y240" i="1"/>
  <c r="AA240" i="1"/>
  <c r="AB240" i="1"/>
  <c r="U249" i="1"/>
  <c r="V249" i="1"/>
  <c r="W249" i="1"/>
  <c r="Y249" i="1"/>
  <c r="AA249" i="1"/>
  <c r="AB249" i="1"/>
  <c r="U253" i="1"/>
  <c r="V253" i="1"/>
  <c r="W253" i="1"/>
  <c r="Y253" i="1"/>
  <c r="AA253" i="1"/>
  <c r="AB253" i="1"/>
  <c r="U260" i="1"/>
  <c r="V260" i="1"/>
  <c r="W260" i="1"/>
  <c r="Y260" i="1"/>
  <c r="AA260" i="1"/>
  <c r="AB260" i="1"/>
  <c r="U265" i="1"/>
  <c r="V265" i="1"/>
  <c r="W265" i="1"/>
  <c r="Y265" i="1"/>
  <c r="AA265" i="1"/>
  <c r="AB265" i="1"/>
  <c r="U270" i="1"/>
  <c r="V270" i="1"/>
  <c r="W270" i="1"/>
  <c r="Y270" i="1"/>
  <c r="AA270" i="1"/>
  <c r="AB270" i="1"/>
  <c r="U272" i="1"/>
  <c r="V272" i="1"/>
  <c r="W272" i="1"/>
  <c r="Y272" i="1"/>
  <c r="AA272" i="1"/>
  <c r="AB272" i="1"/>
  <c r="U274" i="1"/>
  <c r="V274" i="1"/>
  <c r="W274" i="1"/>
  <c r="Y274" i="1"/>
  <c r="AA274" i="1"/>
  <c r="AB274" i="1"/>
  <c r="U276" i="1"/>
  <c r="V276" i="1"/>
  <c r="W276" i="1"/>
  <c r="Y276" i="1"/>
  <c r="AA276" i="1"/>
  <c r="AB276" i="1"/>
  <c r="U278" i="1"/>
  <c r="V278" i="1"/>
  <c r="W278" i="1"/>
  <c r="Y278" i="1"/>
  <c r="AA278" i="1"/>
  <c r="AB278" i="1"/>
  <c r="K307" i="1"/>
  <c r="M307" i="1"/>
  <c r="K313" i="1"/>
  <c r="M313" i="1"/>
  <c r="K383" i="1"/>
  <c r="M383" i="1"/>
  <c r="K392" i="1"/>
  <c r="M392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K401" i="1"/>
  <c r="L401" i="1"/>
  <c r="M401" i="1"/>
  <c r="N401" i="1"/>
  <c r="H20" i="1"/>
  <c r="R7" i="1"/>
  <c r="D14" i="1"/>
  <c r="D15" i="1"/>
</calcChain>
</file>

<file path=xl/sharedStrings.xml><?xml version="1.0" encoding="utf-8"?>
<sst xmlns="http://schemas.openxmlformats.org/spreadsheetml/2006/main" count="1843" uniqueCount="454">
  <si>
    <t>Filters</t>
  </si>
  <si>
    <t>Entity:</t>
  </si>
  <si>
    <t>&lt;ALL&gt;</t>
  </si>
  <si>
    <t>Our Ref</t>
  </si>
  <si>
    <t>Journal Range:</t>
  </si>
  <si>
    <t>Settings</t>
  </si>
  <si>
    <t>Business Unit:</t>
  </si>
  <si>
    <t>PMG</t>
  </si>
  <si>
    <t>Default Period:</t>
  </si>
  <si>
    <t>Period To:</t>
  </si>
  <si>
    <t>Period From:</t>
  </si>
  <si>
    <t>Return Date:</t>
  </si>
  <si>
    <t>2015/003</t>
  </si>
  <si>
    <t>2015/004</t>
  </si>
  <si>
    <t>&gt;&gt;Summary Report 1</t>
  </si>
  <si>
    <t>&gt;'adb</t>
  </si>
  <si>
    <t>LA06-I00</t>
  </si>
  <si>
    <t>LA06-I01</t>
  </si>
  <si>
    <t>LA06-O00</t>
  </si>
  <si>
    <t>LA06-I03</t>
  </si>
  <si>
    <t>PIN00032</t>
  </si>
  <si>
    <t>PIN00033</t>
  </si>
  <si>
    <t>PIN00034</t>
  </si>
  <si>
    <t>PIN00036</t>
  </si>
  <si>
    <t>PIN00037</t>
  </si>
  <si>
    <t>PIN00038</t>
  </si>
  <si>
    <t>PIN00039</t>
  </si>
  <si>
    <t>PIN00040</t>
  </si>
  <si>
    <t>PIN00041</t>
  </si>
  <si>
    <t>PIN00042</t>
  </si>
  <si>
    <t>PIN00043</t>
  </si>
  <si>
    <t>PIN00044</t>
  </si>
  <si>
    <t>PIN00045</t>
  </si>
  <si>
    <t>PIN00047</t>
  </si>
  <si>
    <t>PIN00048</t>
  </si>
  <si>
    <t>PIN00049</t>
  </si>
  <si>
    <t>PIN00050</t>
  </si>
  <si>
    <t>PIN00052</t>
  </si>
  <si>
    <t>PIN00053</t>
  </si>
  <si>
    <t>PIN00054</t>
  </si>
  <si>
    <t>PIN00055</t>
  </si>
  <si>
    <t>PIN00056</t>
  </si>
  <si>
    <t>PIN00057</t>
  </si>
  <si>
    <t>PIN00058</t>
  </si>
  <si>
    <t>PIN00059</t>
  </si>
  <si>
    <t>PIN00061</t>
  </si>
  <si>
    <t>PIN00062</t>
  </si>
  <si>
    <t>PIN00063</t>
  </si>
  <si>
    <t>PIN00064</t>
  </si>
  <si>
    <t>PIN00065</t>
  </si>
  <si>
    <t>PIN00066</t>
  </si>
  <si>
    <t>PIN00067</t>
  </si>
  <si>
    <t>PIN00068</t>
  </si>
  <si>
    <t>PIN00069</t>
  </si>
  <si>
    <t>PIN00070</t>
  </si>
  <si>
    <t>PIN00071</t>
  </si>
  <si>
    <t>PIN00072</t>
  </si>
  <si>
    <t>PIN00073</t>
  </si>
  <si>
    <t>PIN00074</t>
  </si>
  <si>
    <t>PIN00075</t>
  </si>
  <si>
    <t>PIN00076</t>
  </si>
  <si>
    <t>PIN00077</t>
  </si>
  <si>
    <t>PIN00078</t>
  </si>
  <si>
    <t>PIN00079</t>
  </si>
  <si>
    <t>PIN00080</t>
  </si>
  <si>
    <t>PIN00081</t>
  </si>
  <si>
    <t>PIN00082</t>
  </si>
  <si>
    <t>PIN00083</t>
  </si>
  <si>
    <t>PIN00084</t>
  </si>
  <si>
    <t>PIN00085</t>
  </si>
  <si>
    <t>PIN00086</t>
  </si>
  <si>
    <t>PIN00089</t>
  </si>
  <si>
    <t>PIN00090</t>
  </si>
  <si>
    <t>PIN00091</t>
  </si>
  <si>
    <t>PIN00092</t>
  </si>
  <si>
    <t>PIN00093</t>
  </si>
  <si>
    <t>PIN00094</t>
  </si>
  <si>
    <t>PIN00095</t>
  </si>
  <si>
    <t>PIN00096</t>
  </si>
  <si>
    <t>PIN00097</t>
  </si>
  <si>
    <t>PIN00098</t>
  </si>
  <si>
    <t>PIN00099</t>
  </si>
  <si>
    <t>PIN00100</t>
  </si>
  <si>
    <t>PIN00101</t>
  </si>
  <si>
    <t>PIN00102</t>
  </si>
  <si>
    <t>PIN00103</t>
  </si>
  <si>
    <t>PIN00104</t>
  </si>
  <si>
    <t>PIN00105</t>
  </si>
  <si>
    <t>PIN00106</t>
  </si>
  <si>
    <t>PIN00107</t>
  </si>
  <si>
    <t>PIN00108</t>
  </si>
  <si>
    <t>PIN00109</t>
  </si>
  <si>
    <t>PIN00110</t>
  </si>
  <si>
    <t>PIN00111</t>
  </si>
  <si>
    <t>PIN00112</t>
  </si>
  <si>
    <t>PIN00113</t>
  </si>
  <si>
    <t>PIN00114</t>
  </si>
  <si>
    <t>PIN00115</t>
  </si>
  <si>
    <t>PIN00116</t>
  </si>
  <si>
    <t>PIN00117</t>
  </si>
  <si>
    <t>PIN00120</t>
  </si>
  <si>
    <t>PKM-INV-2015-013</t>
  </si>
  <si>
    <t>PSB00347</t>
  </si>
  <si>
    <t>PSB00348</t>
  </si>
  <si>
    <t>QPARKM-1742-08/04/2015</t>
  </si>
  <si>
    <t>QPARKM-PHAR-08/04/2015</t>
  </si>
  <si>
    <t>SI00120447</t>
  </si>
  <si>
    <t>SI00122056</t>
  </si>
  <si>
    <t>SI004918</t>
  </si>
  <si>
    <t>SI005770</t>
  </si>
  <si>
    <t>SI005775</t>
  </si>
  <si>
    <t>SIN000454</t>
  </si>
  <si>
    <t>ST3</t>
  </si>
  <si>
    <t>XGLTDI00024636</t>
  </si>
  <si>
    <t>XGLTDI00024889</t>
  </si>
  <si>
    <t>Vat Code</t>
  </si>
  <si>
    <t>Rate</t>
  </si>
  <si>
    <t>|</t>
  </si>
  <si>
    <t>0%</t>
  </si>
  <si>
    <t>||</t>
  </si>
  <si>
    <t>20%</t>
  </si>
  <si>
    <t>0% (exempt or out of scope)</t>
  </si>
  <si>
    <t>End</t>
  </si>
  <si>
    <t>|||</t>
  </si>
  <si>
    <t>Amount</t>
  </si>
  <si>
    <t>Posted VAT</t>
  </si>
  <si>
    <t>Calc'd VAT</t>
  </si>
  <si>
    <t>PIN00046</t>
  </si>
  <si>
    <t>00027861071636</t>
  </si>
  <si>
    <t>00038672011630</t>
  </si>
  <si>
    <t>006/352677</t>
  </si>
  <si>
    <t>006/352678</t>
  </si>
  <si>
    <t>006/352679</t>
  </si>
  <si>
    <t>006/352680</t>
  </si>
  <si>
    <t>1100023696</t>
  </si>
  <si>
    <t>15/2-14/3/15</t>
  </si>
  <si>
    <t>15/3-11/4/15</t>
  </si>
  <si>
    <t>1888960</t>
  </si>
  <si>
    <t>1893829</t>
  </si>
  <si>
    <t>2187248/22</t>
  </si>
  <si>
    <t>2396374/13</t>
  </si>
  <si>
    <t>247834283</t>
  </si>
  <si>
    <t>2560887/6</t>
  </si>
  <si>
    <t>2609205/11</t>
  </si>
  <si>
    <t>30026</t>
  </si>
  <si>
    <t>30225</t>
  </si>
  <si>
    <t>3131807000</t>
  </si>
  <si>
    <t>4327</t>
  </si>
  <si>
    <t>7220</t>
  </si>
  <si>
    <t>7249</t>
  </si>
  <si>
    <t>7465051</t>
  </si>
  <si>
    <t>7465643</t>
  </si>
  <si>
    <t>7465716</t>
  </si>
  <si>
    <t>7465717</t>
  </si>
  <si>
    <t>7466435</t>
  </si>
  <si>
    <t>7466436</t>
  </si>
  <si>
    <t>7466437</t>
  </si>
  <si>
    <t>7481358</t>
  </si>
  <si>
    <t>7481359</t>
  </si>
  <si>
    <t>7520651</t>
  </si>
  <si>
    <t>7523334</t>
  </si>
  <si>
    <t>7542682</t>
  </si>
  <si>
    <t>7542683</t>
  </si>
  <si>
    <t>7542686</t>
  </si>
  <si>
    <t>7542687</t>
  </si>
  <si>
    <t>7543279</t>
  </si>
  <si>
    <t>850603822</t>
  </si>
  <si>
    <t>850603847</t>
  </si>
  <si>
    <t>851132270</t>
  </si>
  <si>
    <t>APR15 CB</t>
  </si>
  <si>
    <t>BC440275</t>
  </si>
  <si>
    <t>C1502</t>
  </si>
  <si>
    <t>Correction</t>
  </si>
  <si>
    <t>FEB15 CB</t>
  </si>
  <si>
    <t>JVB01332</t>
  </si>
  <si>
    <t>JVB01335</t>
  </si>
  <si>
    <t>JVB01347</t>
  </si>
  <si>
    <t>JVB01350</t>
  </si>
  <si>
    <t>JVB01352</t>
  </si>
  <si>
    <t>JVB01352(A)</t>
  </si>
  <si>
    <t>JVB01352C</t>
  </si>
  <si>
    <t>JVB01355</t>
  </si>
  <si>
    <t>MAR15 CB</t>
  </si>
  <si>
    <t>MOL-JV2015003</t>
  </si>
  <si>
    <t>NAM SETTLEMENT</t>
  </si>
  <si>
    <t>NAM SETTLEMENT (A)</t>
  </si>
  <si>
    <t>NAM SETTLEMENT 2/4/15</t>
  </si>
  <si>
    <t>NL12234C</t>
  </si>
  <si>
    <t>OJVPLA032015GBP</t>
  </si>
  <si>
    <t>PIN00088</t>
  </si>
  <si>
    <t>PIN00121</t>
  </si>
  <si>
    <t>PIN00122</t>
  </si>
  <si>
    <t>PIN00123</t>
  </si>
  <si>
    <t>001115</t>
  </si>
  <si>
    <t>001215</t>
  </si>
  <si>
    <t>01/03/2015</t>
  </si>
  <si>
    <t>01/04/2015</t>
  </si>
  <si>
    <t>045404</t>
  </si>
  <si>
    <t>045803</t>
  </si>
  <si>
    <t>045804</t>
  </si>
  <si>
    <t>045822</t>
  </si>
  <si>
    <t>09/03/15</t>
  </si>
  <si>
    <t>093689</t>
  </si>
  <si>
    <t>10442898</t>
  </si>
  <si>
    <t>10444392</t>
  </si>
  <si>
    <t>106467</t>
  </si>
  <si>
    <t>11185</t>
  </si>
  <si>
    <t>11187</t>
  </si>
  <si>
    <t>129/15</t>
  </si>
  <si>
    <t>133</t>
  </si>
  <si>
    <t>1411819</t>
  </si>
  <si>
    <t>141510490</t>
  </si>
  <si>
    <t>141510491</t>
  </si>
  <si>
    <t>1500257</t>
  </si>
  <si>
    <t>1503-PARKMEAD-A</t>
  </si>
  <si>
    <t>1503-PARKMEAD-C</t>
  </si>
  <si>
    <t>16 APRIL2015</t>
  </si>
  <si>
    <t>16/03/2015</t>
  </si>
  <si>
    <t>16542</t>
  </si>
  <si>
    <t>1800</t>
  </si>
  <si>
    <t>1800003555</t>
  </si>
  <si>
    <t>20103</t>
  </si>
  <si>
    <t>2015030532</t>
  </si>
  <si>
    <t>23200</t>
  </si>
  <si>
    <t>237208</t>
  </si>
  <si>
    <t>238052</t>
  </si>
  <si>
    <t>239620</t>
  </si>
  <si>
    <t>240552</t>
  </si>
  <si>
    <t>25550</t>
  </si>
  <si>
    <t>28/02/15 RENTAL</t>
  </si>
  <si>
    <t>315821</t>
  </si>
  <si>
    <t>316658</t>
  </si>
  <si>
    <t>41/2015</t>
  </si>
  <si>
    <t>4323</t>
  </si>
  <si>
    <t>4325</t>
  </si>
  <si>
    <t>4326</t>
  </si>
  <si>
    <t>4328</t>
  </si>
  <si>
    <t>4807109</t>
  </si>
  <si>
    <t>4807130</t>
  </si>
  <si>
    <t>5387-187948</t>
  </si>
  <si>
    <t>57003041</t>
  </si>
  <si>
    <t>57003430</t>
  </si>
  <si>
    <t>62459</t>
  </si>
  <si>
    <t>62793</t>
  </si>
  <si>
    <t>7440</t>
  </si>
  <si>
    <t>788488</t>
  </si>
  <si>
    <t>790554</t>
  </si>
  <si>
    <t>80000011</t>
  </si>
  <si>
    <t>8387-188225</t>
  </si>
  <si>
    <t>8401835051</t>
  </si>
  <si>
    <t>849450476</t>
  </si>
  <si>
    <t>851132276</t>
  </si>
  <si>
    <t>86229</t>
  </si>
  <si>
    <t>86255</t>
  </si>
  <si>
    <t>86383</t>
  </si>
  <si>
    <t>86384</t>
  </si>
  <si>
    <t>86631</t>
  </si>
  <si>
    <t>90239878</t>
  </si>
  <si>
    <t>9040602</t>
  </si>
  <si>
    <t>97038</t>
  </si>
  <si>
    <t>97776</t>
  </si>
  <si>
    <t>AJN/28222</t>
  </si>
  <si>
    <t>Apr Inv</t>
  </si>
  <si>
    <t>BM20150100262813</t>
  </si>
  <si>
    <t>BM20150300272813</t>
  </si>
  <si>
    <t>BM20150300273399</t>
  </si>
  <si>
    <t>BT011856095</t>
  </si>
  <si>
    <t>C21/INV/9343</t>
  </si>
  <si>
    <t>C21/INV/9346</t>
  </si>
  <si>
    <t>C21/INV/9378</t>
  </si>
  <si>
    <t>C21/INV/9418</t>
  </si>
  <si>
    <t>C21/INV/9421</t>
  </si>
  <si>
    <t>C21/INV/9450</t>
  </si>
  <si>
    <t>CFINV 1651</t>
  </si>
  <si>
    <t>CORRECTION</t>
  </si>
  <si>
    <t>GEOMOD 0315</t>
  </si>
  <si>
    <t>GS9019</t>
  </si>
  <si>
    <t>GT0505</t>
  </si>
  <si>
    <t>GY5939</t>
  </si>
  <si>
    <t>IB 49626</t>
  </si>
  <si>
    <t>INV01127496</t>
  </si>
  <si>
    <t>INV70469</t>
  </si>
  <si>
    <t>INV70609</t>
  </si>
  <si>
    <t>INV70972</t>
  </si>
  <si>
    <t>KAS-0060</t>
  </si>
  <si>
    <t>KE-PKM0315</t>
  </si>
  <si>
    <t>MBINV00047277</t>
  </si>
  <si>
    <t>MBINV00047409</t>
  </si>
  <si>
    <t>MBINV00047410</t>
  </si>
  <si>
    <t>MBINV00047714</t>
  </si>
  <si>
    <t>NS 2046 75 82 Q017 00</t>
  </si>
  <si>
    <t>PG-AW-17</t>
  </si>
  <si>
    <t>PIN00051</t>
  </si>
  <si>
    <t>PIN00060</t>
  </si>
  <si>
    <t>PIN00118</t>
  </si>
  <si>
    <t>PIN00119</t>
  </si>
  <si>
    <t>Apr Jnl 2</t>
  </si>
  <si>
    <t>PIN00128</t>
  </si>
  <si>
    <t>13097</t>
  </si>
  <si>
    <t>13099</t>
  </si>
  <si>
    <t>13100</t>
  </si>
  <si>
    <t>13101</t>
  </si>
  <si>
    <t>13102</t>
  </si>
  <si>
    <t>13103</t>
  </si>
  <si>
    <t>13104</t>
  </si>
  <si>
    <t>13104A</t>
  </si>
  <si>
    <t>13105</t>
  </si>
  <si>
    <t>13106.</t>
  </si>
  <si>
    <t>13107</t>
  </si>
  <si>
    <t>13107A</t>
  </si>
  <si>
    <t>13108.</t>
  </si>
  <si>
    <t>13109.</t>
  </si>
  <si>
    <t>1311</t>
  </si>
  <si>
    <t>13110</t>
  </si>
  <si>
    <t>13111</t>
  </si>
  <si>
    <t>13112</t>
  </si>
  <si>
    <t>13113</t>
  </si>
  <si>
    <t>13114</t>
  </si>
  <si>
    <t>13115</t>
  </si>
  <si>
    <t>13116</t>
  </si>
  <si>
    <t>13117</t>
  </si>
  <si>
    <t>1348</t>
  </si>
  <si>
    <t>1349</t>
  </si>
  <si>
    <t>1350</t>
  </si>
  <si>
    <t>1351</t>
  </si>
  <si>
    <t>1352</t>
  </si>
  <si>
    <t>1353</t>
  </si>
  <si>
    <t>1353(A)</t>
  </si>
  <si>
    <t>1354</t>
  </si>
  <si>
    <t>1354(A)</t>
  </si>
  <si>
    <t>1354C</t>
  </si>
  <si>
    <t>1355</t>
  </si>
  <si>
    <t>1355(A)</t>
  </si>
  <si>
    <t>1355C</t>
  </si>
  <si>
    <t>1356</t>
  </si>
  <si>
    <t>1356(A)</t>
  </si>
  <si>
    <t>1356C(A)</t>
  </si>
  <si>
    <t>1357</t>
  </si>
  <si>
    <t>1357(A)</t>
  </si>
  <si>
    <t>15VOGN025</t>
  </si>
  <si>
    <t>15VOGN028</t>
  </si>
  <si>
    <t>15VOGN029</t>
  </si>
  <si>
    <t>15VOGN030</t>
  </si>
  <si>
    <t>15VOGN035</t>
  </si>
  <si>
    <t>15VOGN036</t>
  </si>
  <si>
    <t>15VOGN037</t>
  </si>
  <si>
    <t>3099</t>
  </si>
  <si>
    <t>3100</t>
  </si>
  <si>
    <t>3101</t>
  </si>
  <si>
    <t>3103</t>
  </si>
  <si>
    <t>3105</t>
  </si>
  <si>
    <t>3106</t>
  </si>
  <si>
    <t>3107</t>
  </si>
  <si>
    <t>3108</t>
  </si>
  <si>
    <t>3109</t>
  </si>
  <si>
    <t>3111</t>
  </si>
  <si>
    <t>3113</t>
  </si>
  <si>
    <t>3114</t>
  </si>
  <si>
    <t>3115</t>
  </si>
  <si>
    <t>1356C</t>
  </si>
  <si>
    <t>LA06-O01</t>
  </si>
  <si>
    <t>1356DI</t>
  </si>
  <si>
    <t>3104</t>
  </si>
  <si>
    <t>3112</t>
  </si>
  <si>
    <t>SBI00001</t>
  </si>
  <si>
    <t>LA06-O03</t>
  </si>
  <si>
    <t>SBI00002</t>
  </si>
  <si>
    <t>SBI00003</t>
  </si>
  <si>
    <t>SBI00004</t>
  </si>
  <si>
    <t>SBI00005</t>
  </si>
  <si>
    <t>SBI00006</t>
  </si>
  <si>
    <t>SBI00007</t>
  </si>
  <si>
    <t>SBI00008</t>
  </si>
  <si>
    <t>VAT Check</t>
  </si>
  <si>
    <t>Group:</t>
  </si>
  <si>
    <t>VAT Return</t>
  </si>
  <si>
    <t>3 Total VAT due (the sum of boxes 1 and 2)</t>
  </si>
  <si>
    <t>2 VAT due in this period on acquisitions from other EC member states</t>
  </si>
  <si>
    <t>1 VAT due in this period on sales and other outputs</t>
  </si>
  <si>
    <t>4 VAT reclaimed in this period on purchases (inc EC acquisitions)</t>
  </si>
  <si>
    <t>6 Total value of sales excluding any VAT. Include box 8 figure</t>
  </si>
  <si>
    <t>7 Total value of purchases excluding any VAT. Include box 9 figure</t>
  </si>
  <si>
    <t>8 Total value of goods and costs, exc VAT, to other EC member states</t>
  </si>
  <si>
    <t>9 Total value of acqstns and costs, exc VAT, to other EC member states</t>
  </si>
  <si>
    <t>5 Net VAT to be paid or reclaimed (difference betwn boxes 3 and 4)</t>
  </si>
  <si>
    <t>VAT Match ID Update and Journal</t>
  </si>
  <si>
    <t xml:space="preserve"> </t>
  </si>
  <si>
    <t>&gt;&gt;srptVATUpdateJournal</t>
  </si>
  <si>
    <t>GBP</t>
  </si>
  <si>
    <t>USD</t>
  </si>
  <si>
    <t>LA02-A1012</t>
  </si>
  <si>
    <t>LA02-A1025</t>
  </si>
  <si>
    <t>LA02-A1026</t>
  </si>
  <si>
    <t>LA02-A1059</t>
  </si>
  <si>
    <t>LA02-A1060</t>
  </si>
  <si>
    <t>LA02-A1062</t>
  </si>
  <si>
    <t>LA02-A1065</t>
  </si>
  <si>
    <t>LA02-A1068</t>
  </si>
  <si>
    <t>LA02-A1075</t>
  </si>
  <si>
    <t>LA02-A9900</t>
  </si>
  <si>
    <t>LA02-B1276</t>
  </si>
  <si>
    <t>LA02-B1277</t>
  </si>
  <si>
    <t>LA02-B1284</t>
  </si>
  <si>
    <t>LA02-B1320</t>
  </si>
  <si>
    <t>LA02-D1000</t>
  </si>
  <si>
    <t>LA02-D1001</t>
  </si>
  <si>
    <t>LA02-D1002</t>
  </si>
  <si>
    <t>LA02-D1003</t>
  </si>
  <si>
    <t>LA02-D1004</t>
  </si>
  <si>
    <t>LA02-D1005</t>
  </si>
  <si>
    <t>LA02-D2001</t>
  </si>
  <si>
    <t>LA02-D2002</t>
  </si>
  <si>
    <t>LA02-D5000</t>
  </si>
  <si>
    <t>LA02-D6000</t>
  </si>
  <si>
    <t>LA02-D7000</t>
  </si>
  <si>
    <t>Curr</t>
  </si>
  <si>
    <t>Jrnl</t>
  </si>
  <si>
    <t>Line</t>
  </si>
  <si>
    <t>Trans Amount</t>
  </si>
  <si>
    <t>GBP Equiv</t>
  </si>
  <si>
    <t>EUR Equiv</t>
  </si>
  <si>
    <t>Exch EUR</t>
  </si>
  <si>
    <t>Original rate</t>
  </si>
  <si>
    <t>Current Period</t>
  </si>
  <si>
    <t>Bank Account:</t>
  </si>
  <si>
    <t>Bank Entity:</t>
  </si>
  <si>
    <t>Intra Currency</t>
  </si>
  <si>
    <t>Intercompany</t>
  </si>
  <si>
    <t>Entity</t>
  </si>
  <si>
    <t>B'[LASATA SETUP FILE]_x000D_
Date=2015-06-01 11:49:47_x000D_
FileType=Agora XLB Data Fill_x000D_
Version=0_x000D_
Buffer=_x000D_
@systemProduct:Str=SS6_x000D_
@systemTable:Str=LA_x000D_
@filterFrom_DbC:Str=businessUnit{P}1_x000D_
@filterFrom_/LA/Ldg:Str=A_x000D_
@filterFrom_/LA/AccCde:Str=81500_x000D_
@filterTo_/LA/AccCde:Str=81500_x000D_
@filterFrom_/LA/Prd:Str=period{P}2_x000D_
@filterTo_/LA/Prd:Str=periodTo{P}3_x000D_
@filterFrom_/LA/T0/57:Str=group{P}4_x000D_
@filterTo_/LA/T0/57:Str=group{P}5_x000D_
@filterFrom_/LA/TC0:Str=entity{P}6_x000D_
@filterTo_/LA/TC0:Str=entity{P}7_x000D_
@filterFrom_/LA/TC7:Str=!_x000D_
@filterTo_/LA/TC7:Str=!_x000D_
@outputField_/LA/JnlNo:Str=4_x000D_
@outputField_/LA/JnlLn:Str=_x000D_
@outputField_/LA/TC1:Str=1_x000D_
@outputField_/LA/TC5:Str=2_x000D_
@outputField_/LA/TC0{ExtractType}0:Str=_x000D_
@outputField_/LA/OthAmt{ExtractType}1:Str=_x000D_
@outputField_/LA/CnvCde:Str=3_x000D_
@outputField_/LA/BseAmt{ExtractType}1:Str=_x000D_
@outputField_/LA/50{ExtractType}1:Str=_x000D_
@formatType:Lng=-4154_x000D_
@formatNumber:Int=1_x000D_
@formatPattern:Int=1_x000D_
@formatFont:Int=1_x000D_
@formatWidth:Int=1_x000D_
@formatAlignment:Int=1_x000D_
@formatBorder:Int=1_x000D_
@filenmSetupfile:Str=_x000D_
@filenmWorkbookSetupFile:Str=srptVATUpdateJournal_x000D_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0400000005000000060000001A00000008000000090000000A0000000B0000000C0000000D0000000E0000000F00000010000000110000001200000013000000140000001500000016000000170000001800000019000000030000001B0000001C0000001D0000001E0000001F000000200000002100000022000000230000002400000025000000260000002700000028000000290000002A0000002B0000002C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F0AF78AC589CD001FEFFFFFF000000000000000057006F0072006B0062006F006F006B0000000000000000000000000000000000000000000000000000000000000000000000000000000000000000000000000012000201FFFFFFFFFFFFFFFFFFFFFFFF000000000000000000000000000000000000000000000000000000000000000000000000070000002B520000000000000000000000000000000000000000000000000000000000000000000000000000000000000000000000000000000000000000000000000000000000000000000000000000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E80300303033413030333330303344303033383030333830303335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13030333430303335303033353030304430303041303034333030364630303643303034343030363530303734303036313030363930303643303037333030324530303439303036453030363430303635303037383030334130303332303033443030333130303331303030443030304130303433303036463030364330303434303036353030373430303631303036393030364330303733303032453030353730303639303036343030373430303638303033413030333330303344303033313030333430303335303033353030304430303041303034333030364630303643303034343030363530303734303036313030363930303643303037333030324530303439303036453030363430303635303037383030334130303332303033443030333130303332303030443030304130303433303036463030364330303434303036353030373430303631303036393030364330303733303032453030353730303639303036343030373430303638303033413030333330303344303033313030333930303335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030000456E64E8030030303646303036433030343430303635303037343030363130303639303036433030373330303245303035373030363930303634303037343030363830303341303033333030334430303331303033343030333530303335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43030333530303335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130303334303033353030333530303044303030413030343330303646303036433030343430303635303037343030363130303639303036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C210180000000000010058022200020000000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C80000000900900100000000000006005461686F6D611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B00440006000023232C2323301E04220045001D000022A32223232C2323302E30303B5C2822A32223232C2323302E30305C291E040E00460009000023232C2323302E30301E041C00470017000023232C2323302E30303B5C2823232C2323302E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0001400000044000100230000DC00000000000000048920E0001400000031000100210000DC00000000000000048920E0001400000047000100230000DC00000000000000048920E0001400070045000100230000DC00000000000000048920E0001400070046000100230000DC00000000000000048920E0001400070000000100230000DC00000000000000048920E0001400070000000100200000DC00000000000000048920E0001400000000000100230000DC00000000000000048920E0001400000000000100230000DC00000000000000049A20E0001400000000000100200000DC00000000000000049A20E0001400070000000100230000DC00000000000000049A2093020400108003FF93020400118006FF93020400128004FF93020400138007FF93020400008000FF93020400148005FF85001000924700000000080044657369676E657285000F00594E0000000007006F5363726970748C00040001002C00FC002B1C1B000000180000000000000100007C0F0000414243787878787878787878787878E80300303034363030364630303732303036443030373530303643303036313030324530303439303037343030363530303644303032453030353230303646303037373030334130303333303033443030333330303044303030413030343630303646303037323030364430303735303036433030363130303245303034393030373430303635303036443030324530303433303036463030364330303341303033333030334430303336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</t>
  </si>
  <si>
    <t>B'3930303341303033333030334430303336303033303030304430303041303035323030364630303737303032453030343330303646303037353030364530303734303033413030333330303344303033313030304430303041303035323030364630303737303032453030343630303732303036463030364430303341303033333030334430303335303030443030304130303532303036463030373730303245303035343030364630303341303033333030334430303335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E80300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3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5343030343330303331303037423030343530303738303037343030373230303631303036333030373430303534303037393030373030303635303037443030333030303044303030413030343330303638303036313030364530303637303036353030344630303636303032453030343930303734303036353030364430303245303034393030364530303634303036353030373830303341303033323030334430303332303030443030304130303433303036383030363130303645303036373030363530303446303036363030324530303439303037343030363530303644303032453030343330303646303036343030363530303341303033383030334430303246303034433030343130303246303035343030343330303335303037423030343530303738303037343030373230303631303036333030373430303534303037393030373030303635303037443030333030303044303030413030343330303638303036313030364530303637303036353030344630303636303032453030343930303734303036353030364430303245303034393030364530303634303036353030373830303341303033323030334430303333303030443030304130303433303036383030363130303645303036373030363530303446303036363030324530303439303037343030363530303644303032453030343330303646303036343030363530303341303033383030334430303246303034433030343130303246303034333030364530303736303034333030363430303635303030443030304130303436303036463030373230303644303037353030364330303631303032453030343330303646E80300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4330303431303032463030353430303433303033353030374230303435303037383030373430303732303036313030363330303734303035343030373930303730303036353030374430303330303030443030304130303532303036463030373730303341303033333030334430303333303030443030304130303433303036463030364330303341303033333030334430303332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E8030030303735303036453030373430303341303033323030334430303333303030443030304130303436303036463030373230303644303037353030364330303631303032453030343930303734303036353030364430303245303034393030364530303634303036353030373830303341303033323030334430303331303030443030304130303436303036463030373230303644303037353030364330303631303032453030343930303734303036353030364430303245303034333030363130303734303036353030363730303646303037323030373930303341303033333030334430303331303030443030304130303436303036463030373230303644303037353030364330303631303032453030343930303734303036353030364430303245303035323030364630303737303033413030333330303344303033333030304430303041303034363030364630303732303036443030373530303643303036313030324530303439303037343030363530303644303032453030343330303646303036433030334130303333303033443030333430303044303030413030343630303646303037323030364430303735303036433030363130303245303034393030373430303635303036443030324530303439303036453030363430303635303037383030334130303332303033443030333230303044303030413030343630303646303037323030364430303735303036433030363130303245303034393030373430303635303036443030324530303433303036313030373430303635303036373030364630303732303037393030334130303333303033443030333130303044303030413030343630303646303037323030364430303735303036433030363130303245303034393030373430303635303036443030324530303532303036463030373730303341303033333030334430303333303030443030304130303436303036463030373230303644303037353030364330303631303032453030343930303734303036353030364430303245303034333030364630303643303033413030333330303344303033353030304430303041303034363030364630303732303036443030373530303643303036313030324530303439303037343030363530303644303032453030343930303645303036343030363530303738303033413030333230303344303033333030304430303041303034363030364630303732303036443030373530303643303036313030324530303439303037343030363530303644303032453030343330303631303037343030363530303637303036463030373230303739303033413030333330303344303033313030304430303041E80300303034333030364630303735303036453030373430303341303033323030334430303333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E80300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130303330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44130303645303036433030344530303646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8C0000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2303030443030304130303532303036463030373730303444303036313030373830303341303033333030334430303335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9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9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53030333230303335303030443030304130303433303036463030364330303434303036353030373430303631303036393030364330303733303032453030343930303645303036343030363530303738303033413030333230303344303033343030304430303041303034330300007C7C7C05000041424378783C00781BE80300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3303037333030324530303439303036453030363430303635303037383030334130303332303033443030333730303044303030413030343330303646303036433030343430303635303037343030363130303639303036433030373330303245303035373030363930303634303037343030363830303341303033333030334430303331303033343030333530303335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43030333530303335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</t>
  </si>
  <si>
    <t>B'30363430303734303036380200007C7CE803003030373930303730303036353030374430303331303030443030304130303532303036463030373730303341303033333030334430303331303030443030304130303433303036463030364330303341303033333030334430303335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33030303044303030413030343330303631303037343030363530303637303036463030373230303739303033413030333330303344303033313030304430303041303034333030364630303634303036353030334130303338303033443030324630303443303034313030324630303335303033303030374230303435303037383030373430303732303036313030363330303734303035343030373930303730303036353030374430303331303030443030304130303532303036463030373730303341303033333030334430303331303030443030304130303433303036463030364330303341303033333030334430303336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E80300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53030333030303044303030413030353230303646303037373030324530303433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E80300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0303732303036313030363330303734303035343030373930303730303036353030374430303330303030443030304130303532303036463030373730303341303033333030334430303333303030443030304130303433303036463030364330303341303033333030334430303333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246303034433030343130303246303034323030373330303635303034313030364430303734303037423030343530303738303037343030373230303631303036333030373430303534E80300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4330303431303032463030344130303645303036433030344330303645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534303034333030333130303742303034353030373830303734303037323030363130303633303037343030353430303739303037303030363530303744303033303030304430303041303035323030364630303737303033413030333330303344303033333030304430303041303034333030364630303643303033413030333330303344303033313030304430303041303035333C00D607E80300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53430303433303033303030374230303435303037383030373430303732303036313030363330303734303035343030373930303730303036353030374430303330303030443030304130303532303036463030373730303341303033333030334430303333303030443030304130303433303036463030364330303341303033333030334430303339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63030304430303041303034333030363130303734303036353030363730303646303037323030373930303341303033333030334430303331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13030304430303041E80300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FF0012000C00FF0700000C0000001A240000271C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0000000000060000000000000100007D000C000000010092081700020046007D000C000200020000051700020046007D000C0003000700DB0D1700020046007D000C00080008006E081700020046007D000C0009000A00DB0D1700020046007D000C000B000B00DB011700020046007D000C000C00FF004E1617000200460008021000000000000D00FF000000000040010F0008021000010000000D006C000000000040010F0008021000020000000001FF000000000040010F0008021000030000000D006C000000000040010F0008021000040000000D00FF000000000040010F0008021000050000000D00FF000000000000010F00BD00120000000000180000408F40180000408F400100FD000A000000020019000C000000BD001800000003001A004006C8401A004006C8401A004006C8400500BE001000000006001F001F0017001D001D000A00FD000A0000000B001B00010000000102060000000C001700BE0020000100000020002000200020002000200020002000210022002200220017000C00FD000A0002000000190002000000FD000A0002000100190002000000FD000A000200020019000C00000006002B00020003001A00000000004006C8400000000000001500250000010003C003C0191000001E0000031E00000306002B00020004001A00000000004006C8400000000000001500250000010004C004C0191000001E0000031E00000306002B00020005001A00000000004006C8400000000000001500250000010005C005C0191000001E0000031E0000037E020A00020006001A000000000006002100020007001A00000000004006C8400000000000000B0044020005C044020006C004FD000A000200080019000200000006003900020009001A00000000004006C840000000000000230044020008C0440E0003000B190207001E000019080C0024020003C0190803004203010006003A0002000A001A00000000004006C840000000000000240044020002C01703004742500B190207001E000019080C0024020003C01908030042030100FD000A0002000B001C0011000000BE00EE0102000C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</t>
  </si>
  <si>
    <t xml:space="preserve">B'170017001700170017001700170017001700170017001700170017001700170017001700170017001700170017001700170017001700170017001700FF00BE0020000300000020002000200020002000200020002000200022002200220017000C00FD000A00040000001E000F000000BE001A0004000100170017001700170017001700170017001D001D000A00FD000A0004000B001D000B0000000102060004000C001700BE0020000500000017001700170017001700170017001700170017001700170017000C003E021200B606000005000000000000000000000000001D000F000304000B0000000100040004000B0B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0000000000120000000000030000007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00080210001100000001000E010000000000010F00FD000A000000000016000A000000BE000A0000000100160016000200FD000A0001000000160010000000FD000A000200000016000E000000FD000A0003000000160007000000FD000A0004000000160013000000FD000A0005000000160004000000FD000A0006000000160006000000FD000A0007000000160003000000FD000A000800000016000D000000FD000A0009000000160008000000FD000A000A000000160015000000FD000A000B000000160005000000FD000A000C000000160016000000FD000A000D000000160017000000FD000A000E000000160014000000FD000A000F000000160012000000FD000A0010000000160009000000FD000A00110000001600000000003E021200B600000000000000000000000000000000001D000F00030000000000000100000000000000A000040064006400AB0022002000000000000000000000000000000000000000000000000000000000000000000099000200750A0A000000_x000D_
</t>
  </si>
  <si>
    <t>LA01-100</t>
  </si>
  <si>
    <t>LA01-103</t>
  </si>
  <si>
    <t>LA01-101</t>
  </si>
  <si>
    <t>LA01-104</t>
  </si>
  <si>
    <t>LA01-105</t>
  </si>
  <si>
    <t>LA01-108</t>
  </si>
  <si>
    <t>LA01-102</t>
  </si>
  <si>
    <t>B'[LASATA SETUP FILE]_x000D_
Date=2015-06-01 15:55:18_x000D_
FileType=Agora XLB Data Fill_x000D_
Version=0_x000D_
Buffer=_x000D_
@systemProduct:Str=SS6_x000D_
@systemTable:Str=LA_x000D_
@filterFrom_DbC:Str=businessUnit{P}1_x000D_
@filterFrom_/LA/Ldg:Str=A_x000D_
@filterFrom_/LA/AccCde:Str=1_x000D_
@filterTo_/LA/AccCde:Str=59999_x000D_
@filterFrom_/LA/Prd:Str=period{P}2_x000D_
@filterTo_/LA/Prd:Str=periodTo{P}3_x000D_
@filterFrom_/LA/TC5:Str=&lt;&gt;!_x000D_
@filterFrom_/LA/T0/57:Str=group{P}4_x000D_
@filterTo_/LA/T0/57:Str=group{P}5_x000D_
@filterFrom_/LA/TC0:Str=entity{P}6_x000D_
@filterTo_/LA/TC0:Str=entity{P}7_x000D_
@outputField_/LA/TrnRef:Str=2_x000D_
@outputField_/LA/TC5:Str=1_x000D_
@outputField_/LA/T5/8:Str=_x000D_
@outputField_/LA/T5/81:Str=_x000D_
@outputField_/LA/OthAmt{ExtractType}1:Str=_x000D_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0400000005000000060000001900000008000000090000000A0000000B0000000C0000000D0000000E0000000F000000100000001100000012000000130000001400000015000000160000001700000018000000030000001A0000001B0000001C0000001D0000001E0000001F000000200000002100000022000000230000002400000025000000260000002700000028000000290000002A0000002B0000002C0000002D0000002E0000002F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010000000000000000000000000000000000000000000000000000000000000060C47AF97A9CD001FEFFFFFF000000000000000057006F0072006B0062006F006F006B0000000000000000000000000000000000000000000000000000000000000000000000000000000000000000000000000012000201FFFFFFFFFFFFFFFFFFFFFFFF00000000000000000000000000000000000000000000000000000000000000000000000007000000EB580000000000000000000000000000000000000000000000000000000000000000000000000000000000000000000000000000000000000000000000000000000000000000000000000000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030343930303645303036343030363530303738303033413030333230303344303033363030304430303041303034333030363130303734303036353030363730303646303037323030373930303341303033333030334430303331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1303030443030304130303433303036463030364330303341303033333030334430303336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2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E8030030303644303032453030343930303645303036343030363530303738303033413030333230303344303033343030304430303041303032453030343930303734303036353030364430303245303034333030364630303634303036353030334130303338303033443030324630303443303034313030324630303530303037323030363430303044303030413030324530303439303037343030363530303644303032453030353630303631303036433030373530303635303033313030334130303338303033443030373030303635303037323030363930303646303036343030304430303041303032453030343930303734303036353030364430303245303035363030363130303643303037353030363530303332303033413030333830303344303037303030363530303732303036393030364630303634303035343030364630303044303030413030324530303439303037343030363530303644303032453030343930303645303036343030363530303738303033413030333230303344303033353030304430303041303032453030343930303734303036353030364430303245303034333030364630303634303036353030334130303338303033443030324630303443303034313030324630303534303034333030333530303044303030413030324530303439303037343030363530303644303032453030353630303631303036433030373530303635303033313030334130303338303033443030334330303345303032313030304430303041303032453030343930303734303036353030364430303245303035363030363130303643303037353030363530303332303033413030333830303344303030443030304130303245303034393030373430303635303036443030324530303439303036453030363430303635303037383030334130303332303033443030333630303044303030413030324530303439303037343030363530303644303032453030343330303646303036343030363530303341303033383030334430303246303034433030343130303246303035343030333030303246303033353030333730303044303030413030324530303439303037343030363530303644303032453030353630303631303036433030373530303635303033313030334130303338303033443030363730303732303036463030373530303730303030443030304130303245303034393030373430303635303036443030324530303536303036313030364330303735303036353030333230303341303033383030334430303637303037323030364630303735303037303030304430303041303032453030343930303734303036353030364430303245E80300303033393030333930303243303033383030333530303330303033303030333030303044303030413030324530303439303037343030363530303644303032453030353630303631303036433030373530303635303033323030334130303338303033443030334330303343303033313030324530303245303033353030333930303339303033393030333930303243303033383030333530303330303033303030333030303044303030413030324530303439303037343030363530303644303032453030343930303645303036343030363530303738303033413030333230303344303033343030304430303041303032453030343930303734303036353030364430303245303034333030364630303634303036353030334130303338303033443030324630303443303034313030324630303530303037323030363430303044303030413030324530303439303037343030363530303644303032453030353630303631303036433030373530303635303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C210180000000000010058022200020000000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C80000000900900100000000000006005461686F6D611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04220045001D000022A32223232C2323302E30303B5C2822A32223232C2323302E30305C291E041C00460017000023232C2323302E30303B5C2823232C2323302E30305C291E040B00470006000023232C232330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0001400000031000100210000DC00000000000000048920E0001400000046000100230000DC00000000000000048920E0001400000047000100230000DC00000000000000048920E000140000000A000100230000DC00000000000000048920E0001400070045000100230000DC00000000000000048920E0001400070000000100200000DC00000000000000048920E0001400000044000100230000DC00000000000000048920E0001400000000000100230000DC00000000000000049A2093020400108003FF93020400118006FF93020400128004FF93020400138007FF93020400008000FF93020400148005FF850010004F4E00000000080044657369676E657285000F00F7540000000007006F5363726970748C00040001002C00FC008E1B1A0000001A0000000000000100007CE80300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433030343130303246303035343030343330303335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</t>
  </si>
  <si>
    <t>B'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0F0000414243787878787878787878787878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8303030443030304130303532303036463030373730303444303036313030373830303341303033333030334430303335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030303335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9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9303033303030333030303044303030413030343330303646303036433030343430303635303037343030363130303639303036433030373330303245303034393030364530303634303036353030373830303341303033323030334430303334303030443030304130303433E8030030303332303033443030333730303044303030413030324530303439303037343030363530303644303032453030343930303645303036343030363530303738303033413030333230303344303033313030304430303041303032453030343930303734303036353030364430303245303034333030364630303634303036353030334130303338303033443030343430303632303034333030304430303041303032453030343930303734303036353030364430303245303035363030363130303643303037353030363530303331303033413030333830303344303036323030373530303733303036393030364530303635303037333030373330303535303036453030363930303734303030443030304130303245303034393030373430303635303036443030324530303536303036313030364330303735303036353030333230303341303033383030334430303044303030413030324530303439303037343030363530303644303032453030343930303645303036343030363530303738303033413030333230303344303033323030304430303041303032453030343930303734303036353030364430303245303034333030364630303634303036353030334130303338303033443030324630303443303034313030324630303443303036343030363730303044303030413030324530303439303037343030363530303644303032453030353630303631303036433030373530303635303033313030334130303338303033443030343130303044303030413030324530303439303037343030363530303644303032453030353630303631303036433030373530303635303033323030334130303338303033443030304430303041303032453030343930303734303036353030364430303245303034393030364530303634303036353030373830303341303033323030334430303333303030443030304130303245303034393030373430303635303036443030324530303433303036463030363430303635303033413030333830303344303032463030344330303431303032463030343130303633303036333030343330303634303036353030304430303041303032453030343930303734303036353030364430303245303035363030363130303643303037353030363530303331303033413030333830303344303033383030333130303335303033303030333030303044303030413030324530303439303037343030363530303644303032453030353630303631303036433030373530303635303033323030334130303338303033443030333830303331303033353030333030303330303030443030304130303245303034393030373430303635E8030030303439303037343030363530303644303032453030353230303646303037373030334130303333303033443030333330303044303030413030343630303646303037323030364430303735303036433030363130303245303034393030373430303635303036443030324530303433303036463030364330303341303033333030334430303334303030443030304130303436303036463030373230303644303037353030364330303631303032453030343930303734303036353030364430303245303034393030364530303634303036353030373830303341303033323030334430303332303030443030304130303436303036463030373230303644303037353030364330303631303032453030343930303734303036353030364430303245303034333030363130303734303036353030363730303646303037323030373930303341303033333030334430303331303030443030304130303436303036463030373230303644303037353030364330303631303032453030343930303734303036353030364430303245303035323030364630303737303033413030333330303344303033333030304430303041303034363030364630303732303036443030373530303643303036313030324530303439303037343030363530303644303032453030343330303646303036433030334130303333303033443030333530303044303030413030343630303646303037323030364430303735303036433030363130303245303034393030373430303635303036443030324530303439303036453030363430303635303037383030334130303332303033443030333330303044303030413030343630303646303037323030364430303735303036433030363130303245303034393030373430303635303036443030324530303433303036313030373430303635303036373030364630303732303037393030334130303333303033443030333130303044303030413030343630303646303037323030364430303735303036433030363130303245303034393030373430303635303036443030324530303532303036463030373730303341303033333030334430303333303030443030304130303436303036463030373230303644303037353030364330303631303032453030343930303734303036353030364430303245303034333030364630303643303033413030333330303344303033363030304430303041303034343030363930303633303037343030363930303646303036453030363130303732303037393030324530303433303036463030373530303645303037343030334130303332303033443030333030303044303030413030343330303635E80300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3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E80300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53030333030303044303030413030353230303646303037373030324530303433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303245303034353030364530303631303036323030364330303635E80300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5343030333530303246303033383030374230303435303037383030373430303732303036313030363330303734303035343030373930303730303036353030374430303330303030443030304130303532303036463030373730303341303033333030334430303333303030443030304130303433303036463030364330303341303033333030334430303331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433030343130303246303035343030333530303246303033383030333130303742303034353030373830303734303037323C00231B580300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3313030334130303338303033443030373030303635303037323030363930303646303036343030304430303041303032453030343930303734303036353030364430303245303035363030363130303643303037353030363530303332303033413030333830303344303037303030363530303732303036393030364630303634303035343030364630303044303030413030324530303439303037343030363530303644303032453030343930303645303036343030363530303738303033413030333230303344303033353030304430303041303032453030343930303734303036353030364430303245303034333030364630303634303036353030334130303338303033443030324630303443303034313030324630303534303034333030333530303044303030413030324530303439303037343030363530303644303032453030353630303631303036433030373530303635303033313030334130303338303033443030334330303345303032313030304430303041303032453030343930303734303036353030364430303245303035363030363130303643303037353030363530303332303033413030333830303344303030443030304130303245303034393030373430303635303036443030324530303439303036453030363430303635303037383030334130303332303033443030333630303044303030413030324530303439303037343030363530303644303032453030343330303646303036343030363530303341303033383030334430303246303034433030343130303246303035343030333030303246303033353030333730303044303030413030324530303439303037343200004142437878787878787878787878787878787878787878787878787878787878787878787878787878787878787878787878E80300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393030334130303333303033443030333630303330303030443030304130303532303036463030373730</t>
  </si>
  <si>
    <t>B'3032453030343330303646303037353030364530303734303033413030333330303344303033313030304430303041303035323030364630303737303032453030343630303732303036463030364430303341303033333030334430303335303030443030304130303532303036463030373730303245303035343030364630303341303033333030334430303335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E80300303036463030364330303434303036353030373430303631303036393030364330303733303032453030353730303639303036343030373430303638303033413030333330303344303033313030333430303331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430303331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1303033343030333130303330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23030333430303330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2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0300007C7C7C030000456E640200007C7CE80300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534303034333030333530303742303034353030373830303734303037323030363130303633303037343030353430303739303037303030363530303744303033303030304430303041303034363030364630303732303036443030373530303643303036313030324530303433303036463030373530303645303037343030334130303332303033443030333330303044303030413030343630303646303037323030364430303735303036433030363130303245303034393030373430303635303036443030324530303439303036453030363430303635303037383030334130303332303033443030333130303044303030413030343630303646303037323030364430303735303036433030363130303245303034393030373430303635303036443030324530303433303036313030373430303635303036373030364630303732303037393030334130303333303033443030333130303044303030413030343630303646303037323030364430303735303036433030363130303245E80300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1303030443030304130303436303036393030363530303643303036343030353230303635303036363030324530303439303037343C00CD0FE80300303036353030364430303245303035363030363130303643303037353030363530303331303033413030333830303344303036373030373230303646303037353030373030303044303030413030324530303439303037343030363530303644303032453030353630303631303036433030373530303635303033323030334130303338303033443030363730303732303036463030373530303730303030443030304130303245303034393030373430303635303036443030324530303439303036453030363430303635303037383030334130303332303033443030333730303044303030413030324530303439303037343030363530303644303032453030343330303646303036343030363530303341303033383030334430303246303034433030343130303246303035343030343330303330303030443030304130303245303034393030373430303635303036443030324530303536303036313030364330303735303036353030333130303341303033383030334430303635303036453030373430303639303037343030373930303044303030413030324530303439303037343030363530303644303032453030353630303631303036433030373530303635303033323030334130303338303033443030363530303645303037343030363930303734303037393030304430303041303034363030363930303643303037343030363530303732303034333030364630303643303032453030343930303734303036353030364430303341303033383030334430303435303036453030363430303044303030413030343630303639303036433030373430303635303037323030343330303646303036433030324530303439303037343030363530303644303033413030333830303344303035333030373430303631303037323030373430303044303030413030343630303639303036433030373430303635303037323030343330303646303036433030324530303439303037343030363530303644303032453030343930303645303036343030363530303738303033413030333230303344303033323030304430303041303034333030364630303643303032453030343330303646303037353030364530303734303033413030333330303344303033313030304430303041303034333030364630303643303032453030343630303732303036463030364430303341303033333030334430303336303030443030304130303433303036463030364330303245303035343030364630303341303033333030334430303336303030443030304130303439303037343030363530303644303032453030343330303646303037353030364530303734303033411E0000414243787878787878787878787878787878787878787878787878787878E8030030303044303030413030343330303646303036433030324530303534303036463030334130303333303033443030333430303044303030413030343930303734303036353030364430303245303034333030364630303735303036453030373430303341303033323030334430303337303030443030304130303245303034393030373430303635303036443030324530303439303036453030363430303635303037383030334130303332303033443030333130303044303030413030324530303439303037343030363530303644303032453030343330303646303036343030363530303341303033383030334430303434303036323030343330303044303030413030324530303439303037343030363530303644303032453030353630303631303036433030373530303635303033313030334130303338303033443030363230303735303037333030363930303645303036353030373330303733303035353030364530303639303037343030304430303041303032453030343930303734303036353030364430303245303035363030363130303643303037353030363530303332303033413030333830303344303030443030304130303245303034393030373430303635303036443030324530303439303036453030363430303635303037383030334130303332303033443030333230303044303030413030324530303439303037343030363530303644303032453030343330303646303036343030363530303341303033383030334430303246303034433030343130303246303034433030363430303637303030443030304130303245303034393030373430303635303036443030324530303536303036313030364330303735303036353030333130303341303033383030334430303431303030443030304130303245303034393030373430303635303036443030324530303536303036313030364330303735303036353030333230303341303033383030334430303044303030413030324530303439303037343030363530303644303032453030343930303645303036343030363530303738303033413030333230303344303033333030304430303041303032453030343930303734303036353030364430303245303034333030364630303634303036353030334130303338303033443030324630303443303034313030324630303431303036333030363330303433303036343030363530303044303030413030324530303439303037343030363530303644303032453030353630303631303036433030373530303635303033313030334130303338303033443030334330303343303033313030324530303245303033353030333930303339E80300303034393030364530303634303036353030373830303341303033323030334430303337303030443030304130303245303034393030373430303635303036443030324530303433303036463030363430303635303033413030333830303344303032463030344330303431303032463030353430303433303033303030304430303041303032453030343930303734303036353030364430303245303035363030363130303643303037353030363530303331303033413030333830303344303036353030364530303734303036393030373430303739303030443030304130303245303034393030373430303635303036443030324530303536303036313030364330303735303036353030333230303341303033383030334430303635303036453030373430303639303037343030373930303044303030413030343630303639303036433030373430303635303037323030343330303646303036433030324530303439303037343030363530303644303033413030333830303344303034353030364530303634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6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5343030373230303645303035323030363530303636303037423030343530303738303037343030373230303631303036333030373430303534303037393030373030303635303037443030333030303044E80300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2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2453030343930303734303036353030364430303341303033383030334430303533303037343030363130303732303037343030304430303041303034363030363930303643303037343030363530303732303034333030364630303643303032453030</t>
  </si>
  <si>
    <t xml:space="preserve">B'3439303037343030363530303644303032453030343930303645303036343030363530303738303033413030333230303344303033313030304430303041303034333030364630303643303032453030343330303646303037353030364530303734303033413030333330303344303033313030304430303041303034333030364630303643303032453030343630303732303036463030364430303341303033333030334430303334FF0012000D00B70700000C000000722E0000350B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0000000000060000000000000100007D000C0000000000000A1700020046007D000C000100020092081700020046007D000C00030005006E0D1700020046007D000C000600060049021700020046007D000C000700070025011700020046007D000C000800FF004E1617000200460008021000000000000900FF000000000040010F00080210000100000009006C000000000040010F0008021000020000000001FF000000000040010F00080210000300000009006C000000000040010F0008021000040000000900FF000000000040010F0008021000050000000900FF000000000000010F00FD000A0000000000180016000000FD000A0000000100180003000000BD001200000002001B004006C84019004006C840030006002700000004001900000080386109A241000000000000110044000002C044000003C0051E0200411B007E020A000000050019004006C84006005A00000006001A00000000000000F03F000000000000440044000005C044000004C01F9A9999999999B93F040D44000005C044000004C01F9A9999999999B93F030942022400190207001E000019080A001E01001908030042030100FD000A00000007001C000100000001020600000008001700BE001800010000001F001F001F001F001F001F001F001F0017000800FD000A000200000018000D000000BE000A000200010018001B00020006002B00020003001E00000000004006C8400000000000001500250000010003C003C0191000001E0000031E00000306002B00020004001E00000080386109A2410000000000001500250000010004C004C0191000001E0000031E00000306002B00020005001E00000000004006C8400000000000001500250000010005C005C0191000001E0000031E00000306005A00020006001A00000000000000F03F000000000000440044020005C044020004C01F9A9999999999B93F040D44020005C044020004C01F9A9999999999B93F030942022400190207001E000019080A001E01001908030042030100FD000A00020007001C0012000000BE00F601020008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1700FF00BE001800030000001F001F001F001F001F001F001F001F0017000800FD000A00040000001D0011000000BE001200040001001700170017001700170017000600FD000A00040007001C001000000001020600040008001700BE0018000500000017001700170017001700170017001700170008003E021200B606000000000000000000000000000000001D000F00030400070000000100040004000707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0000000000130000000000030000007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00080210001100000001000E010000000000010F00080210001200000001000E010000000000010F00FD000A0000000000160004000000BE000A0000000100160016000200FD000A000100000016000F000000FD000A0002000000160007000000FD000A0003000000160008000000FD000A0004000000160013000000FD000A0005000000160006000000FD000A000600000016000E000000FD000A0007000000160019000000FD000A0008000000160017000000FD000A000900000016000C000000FD000A000A000000160015000000FD000A000B000000160005000000FD000A000C00000016000B000000FD000A000D000000160018000000FD000A000E000000160002000000FD000A000F000000160009000000FD000A0010000000160014000000FD000A001100000016000A000000FD000A00120000001600000000003E021200B600000000000000000000000000000000001D000F00030000000000000100000000000000A000040064006400AB0022002000000000000000000000000000000000000000000000000000000000000000000099000200750A0A000000_x000D_
</t>
  </si>
  <si>
    <t>006/352344</t>
  </si>
  <si>
    <t>4326C</t>
  </si>
  <si>
    <t>4327C</t>
  </si>
  <si>
    <t>4328C</t>
  </si>
  <si>
    <t>7528543</t>
  </si>
  <si>
    <t>APR15 JNL</t>
  </si>
  <si>
    <t>APR15 TFR</t>
  </si>
  <si>
    <t>MAR 15 TFR</t>
  </si>
  <si>
    <t>MAR15 TFR</t>
  </si>
  <si>
    <t>4325C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</si>
</sst>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,##0"/>
    <numFmt numFmtId="165" formatCode="##,##0.00"/>
    <numFmt numFmtId="166" formatCode="&quot;£&quot;##,##0.00;\(&quot;£&quot;##,##0.00\)"/>
    <numFmt numFmtId="167" formatCode="##,##0.00;\(##,##0.00\)"/>
  </numFmts>
  <fonts count="16" x14ac:knownFonts="1">
    <font>
      <sz val="11"/>
      <color theme="3"/>
      <name val="Arial"/>
      <family val="2"/>
    </font>
    <font>
      <sz val="11"/>
      <color theme="3"/>
      <name val="Arial"/>
      <family val="2"/>
    </font>
    <font>
      <sz val="28"/>
      <color theme="3"/>
      <name val="Arial"/>
      <family val="2"/>
    </font>
    <font>
      <sz val="11"/>
      <color theme="0"/>
      <name val="Arial"/>
      <family val="2"/>
    </font>
    <font>
      <sz val="11"/>
      <color theme="4" tint="-0.249977111117893"/>
      <name val="Arial"/>
      <family val="2"/>
    </font>
    <font>
      <b/>
      <sz val="11"/>
      <color theme="3"/>
      <name val="Arial"/>
      <family val="2"/>
    </font>
    <font>
      <b/>
      <sz val="11"/>
      <color theme="0"/>
      <name val="Arial"/>
      <family val="2"/>
    </font>
    <font>
      <sz val="11"/>
      <color theme="0" tint="-4.9989318521683403E-2"/>
      <name val="Arial"/>
      <family val="2"/>
    </font>
    <font>
      <b/>
      <sz val="10"/>
      <color theme="3"/>
      <name val="Arial"/>
      <family val="2"/>
    </font>
    <font>
      <sz val="10"/>
      <color theme="3"/>
      <name val="Arial"/>
      <family val="2"/>
    </font>
    <font>
      <sz val="11"/>
      <color theme="6" tint="-0.249977111117893"/>
      <name val="Arial"/>
      <family val="2"/>
    </font>
    <font>
      <sz val="10"/>
      <color theme="2"/>
      <name val="Arial"/>
      <family val="2"/>
    </font>
    <font>
      <sz val="10"/>
      <color theme="4"/>
      <name val="Arial"/>
      <family val="2"/>
    </font>
    <font>
      <b/>
      <sz val="11"/>
      <color theme="0" tint="-4.9989318521683403E-2"/>
      <name val="Arial"/>
      <family val="2"/>
    </font>
    <font>
      <sz val="10"/>
      <color theme="2" tint="-0.499984740745262"/>
      <name val="Arial"/>
      <family val="2"/>
    </font>
    <font>
      <sz val="11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indexed="9"/>
      </patternFill>
    </fill>
    <fill>
      <patternFill patternType="solid">
        <fgColor theme="2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theme="6" tint="0.39994506668294322"/>
      </left>
      <right/>
      <top style="thin">
        <color theme="6" tint="0.39994506668294322"/>
      </top>
      <bottom/>
      <diagonal/>
    </border>
    <border>
      <left/>
      <right/>
      <top style="thin">
        <color theme="6" tint="0.39994506668294322"/>
      </top>
      <bottom/>
      <diagonal/>
    </border>
    <border>
      <left/>
      <right style="medium">
        <color theme="6"/>
      </right>
      <top style="thin">
        <color theme="6" tint="0.39994506668294322"/>
      </top>
      <bottom/>
      <diagonal/>
    </border>
    <border>
      <left style="thin">
        <color theme="6" tint="0.39994506668294322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thin">
        <color theme="6" tint="0.39994506668294322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3" tint="0.39994506668294322"/>
      </left>
      <right style="thin">
        <color theme="3" tint="0.59996337778862885"/>
      </right>
      <top style="medium">
        <color theme="3" tint="0.39994506668294322"/>
      </top>
      <bottom style="thin">
        <color theme="3" tint="0.59996337778862885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/>
      <bottom/>
      <diagonal/>
    </border>
  </borders>
  <cellStyleXfs count="25">
    <xf numFmtId="0" fontId="0" fillId="3" borderId="0" applyNumberFormat="0" applyAlignment="0"/>
    <xf numFmtId="0" fontId="2" fillId="3" borderId="0" applyNumberFormat="0"/>
    <xf numFmtId="0" fontId="1" fillId="2" borderId="0" applyNumberFormat="0" applyAlignment="0"/>
    <xf numFmtId="0" fontId="1" fillId="3" borderId="1" applyNumberFormat="0" applyAlignment="0"/>
    <xf numFmtId="0" fontId="1" fillId="3" borderId="2" applyNumberFormat="0" applyAlignment="0"/>
    <xf numFmtId="0" fontId="1" fillId="3" borderId="3" applyNumberFormat="0">
      <alignment horizontal="right"/>
    </xf>
    <xf numFmtId="0" fontId="1" fillId="3" borderId="4" applyNumberFormat="0" applyAlignment="0"/>
    <xf numFmtId="0" fontId="3" fillId="3" borderId="5" applyNumberFormat="0">
      <alignment horizontal="right"/>
    </xf>
    <xf numFmtId="0" fontId="4" fillId="4" borderId="6" applyNumberFormat="0">
      <alignment horizontal="right"/>
    </xf>
    <xf numFmtId="0" fontId="5" fillId="3" borderId="0" applyNumberFormat="0" applyAlignment="0"/>
    <xf numFmtId="0" fontId="6" fillId="5" borderId="7" applyNumberFormat="0" applyAlignment="0"/>
    <xf numFmtId="49" fontId="7" fillId="6" borderId="8" applyNumberFormat="0" applyAlignment="0">
      <alignment horizontal="left"/>
    </xf>
    <xf numFmtId="0" fontId="8" fillId="7" borderId="9" applyNumberFormat="0" applyAlignment="0"/>
    <xf numFmtId="49" fontId="9" fillId="7" borderId="0" applyNumberFormat="0" applyAlignment="0">
      <alignment horizontal="left"/>
    </xf>
    <xf numFmtId="0" fontId="8" fillId="7" borderId="0" applyNumberFormat="0" applyAlignment="0"/>
    <xf numFmtId="0" fontId="1" fillId="3" borderId="0" applyNumberFormat="0">
      <alignment horizontal="right"/>
    </xf>
    <xf numFmtId="0" fontId="1" fillId="3" borderId="10" applyNumberFormat="0" applyAlignment="0"/>
    <xf numFmtId="0" fontId="3" fillId="3" borderId="11" applyNumberFormat="0" applyAlignment="0"/>
    <xf numFmtId="0" fontId="3" fillId="3" borderId="12" applyNumberFormat="0">
      <alignment horizontal="right"/>
    </xf>
    <xf numFmtId="0" fontId="10" fillId="8" borderId="13" applyNumberFormat="0">
      <alignment horizontal="center"/>
    </xf>
    <xf numFmtId="49" fontId="11" fillId="9" borderId="0" applyNumberFormat="0" applyAlignment="0">
      <alignment horizontal="left"/>
    </xf>
    <xf numFmtId="49" fontId="12" fillId="4" borderId="0" applyNumberFormat="0" applyAlignment="0">
      <alignment horizontal="left"/>
    </xf>
    <xf numFmtId="164" fontId="12" fillId="10" borderId="0" applyNumberFormat="0" applyAlignment="0">
      <alignment horizontal="right"/>
    </xf>
    <xf numFmtId="49" fontId="14" fillId="11" borderId="0" applyNumberFormat="0" applyAlignment="0">
      <alignment horizontal="left"/>
    </xf>
    <xf numFmtId="167" fontId="14" fillId="11" borderId="16" applyNumberFormat="0" applyAlignment="0">
      <alignment horizontal="right"/>
    </xf>
  </cellStyleXfs>
  <cellXfs count="57">
    <xf numFmtId="0" fontId="0" fillId="3" borderId="0" xfId="0"/>
    <xf numFmtId="0" fontId="1" fillId="2" borderId="0" xfId="2"/>
    <xf numFmtId="0" fontId="1" fillId="3" borderId="1" xfId="3"/>
    <xf numFmtId="0" fontId="1" fillId="3" borderId="2" xfId="4"/>
    <xf numFmtId="0" fontId="1" fillId="3" borderId="3" xfId="5">
      <alignment horizontal="right"/>
    </xf>
    <xf numFmtId="0" fontId="1" fillId="3" borderId="4" xfId="6"/>
    <xf numFmtId="0" fontId="2" fillId="3" borderId="0" xfId="1"/>
    <xf numFmtId="0" fontId="3" fillId="3" borderId="5" xfId="7">
      <alignment horizontal="right"/>
    </xf>
    <xf numFmtId="14" fontId="4" fillId="4" borderId="6" xfId="8" applyNumberFormat="1">
      <alignment horizontal="right"/>
    </xf>
    <xf numFmtId="0" fontId="5" fillId="3" borderId="0" xfId="9" applyAlignment="1">
      <alignment horizontal="left" indent="1"/>
    </xf>
    <xf numFmtId="0" fontId="0" fillId="3" borderId="0" xfId="0" applyAlignment="1">
      <alignment horizontal="left" indent="1"/>
    </xf>
    <xf numFmtId="0" fontId="4" fillId="4" borderId="6" xfId="8">
      <alignment horizontal="right"/>
    </xf>
    <xf numFmtId="0" fontId="6" fillId="5" borderId="7" xfId="10"/>
    <xf numFmtId="0" fontId="5" fillId="3" borderId="0" xfId="9"/>
    <xf numFmtId="0" fontId="0" fillId="3" borderId="0" xfId="15" applyFont="1">
      <alignment horizontal="right"/>
    </xf>
    <xf numFmtId="0" fontId="0" fillId="3" borderId="0" xfId="15" applyNumberFormat="1" applyFont="1">
      <alignment horizontal="right"/>
    </xf>
    <xf numFmtId="0" fontId="1" fillId="3" borderId="10" xfId="16"/>
    <xf numFmtId="0" fontId="3" fillId="3" borderId="11" xfId="17"/>
    <xf numFmtId="0" fontId="3" fillId="3" borderId="12" xfId="18">
      <alignment horizontal="right"/>
    </xf>
    <xf numFmtId="0" fontId="4" fillId="4" borderId="6" xfId="8" applyNumberFormat="1">
      <alignment horizontal="right"/>
    </xf>
    <xf numFmtId="0" fontId="0" fillId="3" borderId="0" xfId="0" applyAlignment="1">
      <alignment wrapText="1"/>
    </xf>
    <xf numFmtId="0" fontId="6" fillId="5" borderId="7" xfId="10" applyAlignment="1">
      <alignment horizontal="right"/>
    </xf>
    <xf numFmtId="10" fontId="8" fillId="7" borderId="0" xfId="14" applyNumberFormat="1" applyAlignment="1">
      <alignment horizontal="right"/>
    </xf>
    <xf numFmtId="10" fontId="9" fillId="7" borderId="0" xfId="13" applyNumberFormat="1" applyAlignment="1">
      <alignment horizontal="right"/>
    </xf>
    <xf numFmtId="49" fontId="9" fillId="7" borderId="0" xfId="13" applyNumberFormat="1" applyAlignment="1">
      <alignment horizontal="left"/>
    </xf>
    <xf numFmtId="167" fontId="9" fillId="7" borderId="0" xfId="13" applyNumberFormat="1" applyAlignment="1">
      <alignment horizontal="right"/>
    </xf>
    <xf numFmtId="166" fontId="3" fillId="3" borderId="5" xfId="7" applyNumberFormat="1">
      <alignment horizontal="right"/>
    </xf>
    <xf numFmtId="49" fontId="8" fillId="7" borderId="0" xfId="14" applyNumberFormat="1" applyAlignment="1">
      <alignment horizontal="left"/>
    </xf>
    <xf numFmtId="165" fontId="8" fillId="7" borderId="0" xfId="14" applyNumberFormat="1" applyAlignment="1">
      <alignment horizontal="right"/>
    </xf>
    <xf numFmtId="0" fontId="3" fillId="3" borderId="11" xfId="17" applyNumberFormat="1" applyAlignment="1"/>
    <xf numFmtId="166" fontId="3" fillId="3" borderId="12" xfId="18" applyNumberFormat="1">
      <alignment horizontal="right"/>
    </xf>
    <xf numFmtId="0" fontId="5" fillId="3" borderId="0" xfId="0" applyFont="1"/>
    <xf numFmtId="0" fontId="9" fillId="3" borderId="0" xfId="0" applyFont="1"/>
    <xf numFmtId="0" fontId="8" fillId="3" borderId="0" xfId="0" applyFont="1"/>
    <xf numFmtId="0" fontId="0" fillId="3" borderId="2" xfId="4" applyFont="1"/>
    <xf numFmtId="164" fontId="9" fillId="10" borderId="0" xfId="0" applyNumberFormat="1" applyFont="1" applyFill="1" applyAlignment="1" applyProtection="1">
      <alignment horizontal="right"/>
    </xf>
    <xf numFmtId="0" fontId="13" fillId="6" borderId="8" xfId="11" applyNumberFormat="1" applyFont="1" applyBorder="1" applyAlignment="1">
      <alignment horizontal="centerContinuous"/>
    </xf>
    <xf numFmtId="0" fontId="13" fillId="6" borderId="14" xfId="11" applyNumberFormat="1" applyFont="1" applyBorder="1" applyAlignment="1">
      <alignment horizontal="centerContinuous"/>
    </xf>
    <xf numFmtId="0" fontId="6" fillId="5" borderId="15" xfId="10" applyBorder="1" applyAlignment="1">
      <alignment horizontal="right"/>
    </xf>
    <xf numFmtId="49" fontId="11" fillId="9" borderId="0" xfId="20" applyNumberFormat="1" applyAlignment="1">
      <alignment horizontal="left"/>
    </xf>
    <xf numFmtId="167" fontId="11" fillId="9" borderId="0" xfId="20" applyNumberFormat="1" applyAlignment="1">
      <alignment horizontal="right"/>
    </xf>
    <xf numFmtId="164" fontId="11" fillId="9" borderId="0" xfId="20" applyNumberFormat="1" applyAlignment="1">
      <alignment horizontal="right"/>
    </xf>
    <xf numFmtId="167" fontId="14" fillId="11" borderId="0" xfId="23" applyNumberFormat="1" applyAlignment="1">
      <alignment horizontal="right"/>
    </xf>
    <xf numFmtId="0" fontId="6" fillId="5" borderId="7" xfId="10" applyAlignment="1"/>
    <xf numFmtId="0" fontId="0" fillId="3" borderId="0" xfId="0" applyNumberFormat="1" applyAlignment="1">
      <alignment horizontal="right"/>
    </xf>
    <xf numFmtId="0" fontId="0" fillId="3" borderId="0" xfId="0" applyNumberFormat="1" applyAlignment="1"/>
    <xf numFmtId="49" fontId="14" fillId="11" borderId="0" xfId="23" applyNumberFormat="1" applyAlignment="1">
      <alignment horizontal="left"/>
    </xf>
    <xf numFmtId="167" fontId="14" fillId="11" borderId="16" xfId="24" applyNumberFormat="1" applyAlignment="1">
      <alignment horizontal="right"/>
    </xf>
    <xf numFmtId="0" fontId="3" fillId="3" borderId="11" xfId="17" applyNumberFormat="1" applyAlignment="1">
      <alignment horizontal="right"/>
    </xf>
    <xf numFmtId="167" fontId="0" fillId="3" borderId="0" xfId="0" applyNumberFormat="1"/>
    <xf numFmtId="167" fontId="5" fillId="3" borderId="0" xfId="0" applyNumberFormat="1" applyFont="1"/>
    <xf numFmtId="0" fontId="15" fillId="2" borderId="0" xfId="2" applyFont="1"/>
    <xf numFmtId="0" fontId="15" fillId="3" borderId="3" xfId="5" applyFont="1">
      <alignment horizontal="right"/>
    </xf>
    <xf numFmtId="166" fontId="15" fillId="3" borderId="5" xfId="7" applyNumberFormat="1" applyFont="1">
      <alignment horizontal="right"/>
    </xf>
    <xf numFmtId="165" fontId="15" fillId="3" borderId="5" xfId="7" applyNumberFormat="1" applyFont="1">
      <alignment horizontal="right"/>
    </xf>
    <xf numFmtId="0" fontId="15" fillId="3" borderId="12" xfId="18" applyNumberFormat="1" applyFont="1">
      <alignment horizontal="right"/>
    </xf>
    <xf numFmtId="0" fontId="15" fillId="3" borderId="0" xfId="0" applyFont="1"/>
  </cellXfs>
  <cellStyles count="25">
    <cellStyle name="B2" xfId="13"/>
    <cellStyle name="B2B" xfId="14"/>
    <cellStyle name="B2BT" xfId="12"/>
    <cellStyle name="B3" xfId="19"/>
    <cellStyle name="B4" xfId="20"/>
    <cellStyle name="B5" xfId="21"/>
    <cellStyle name="B6" xfId="22"/>
    <cellStyle name="B7" xfId="23"/>
    <cellStyle name="B7 2" xfId="24"/>
    <cellStyle name="Background" xfId="2"/>
    <cellStyle name="Filter" xfId="8"/>
    <cellStyle name="H1" xfId="9"/>
    <cellStyle name="H2" xfId="10"/>
    <cellStyle name="H3" xfId="11"/>
    <cellStyle name="Normal" xfId="0" builtinId="0" customBuiltin="1"/>
    <cellStyle name="O1" xfId="3"/>
    <cellStyle name="O2" xfId="4"/>
    <cellStyle name="O3" xfId="5"/>
    <cellStyle name="O4" xfId="6"/>
    <cellStyle name="O5" xfId="7"/>
    <cellStyle name="O6" xfId="16"/>
    <cellStyle name="O7" xfId="17"/>
    <cellStyle name="O8" xfId="18"/>
    <cellStyle name="Setting" xfId="15"/>
    <cellStyle name="Title" xfId="1" builtinId="1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640727</xdr:colOff>
      <xdr:row>1</xdr:row>
      <xdr:rowOff>13526</xdr:rowOff>
    </xdr:from>
    <xdr:to>
      <xdr:col>5</xdr:col>
      <xdr:colOff>111626</xdr:colOff>
      <xdr:row>2</xdr:row>
      <xdr:rowOff>236900</xdr:rowOff>
    </xdr:to>
    <xdr:pic macro="[2]!hideFilter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413106">
          <a:off x="1888502" y="194501"/>
          <a:ext cx="404349" cy="40434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%20(x86)/Infor/Query%20and%20Analysis/LsAgXLB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Payment%20Ru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  <sheetName val="LsAgXLB"/>
    </sheetNames>
    <definedNames>
      <definedName name="AG_DTLK"/>
      <definedName name="AG_SMLK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mpscrapsheet"/>
      <sheetName val="Process"/>
      <sheetName val="Ls_XLB_WorkbookFile"/>
      <sheetName val="Ls_AgXLB_WorkbookFile"/>
      <sheetName val="Copy of Payment Run"/>
    </sheetNames>
    <definedNames>
      <definedName name="hideFilter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Parkmead">
      <a:dk1>
        <a:sysClr val="windowText" lastClr="000000"/>
      </a:dk1>
      <a:lt1>
        <a:sysClr val="window" lastClr="FFFFFF"/>
      </a:lt1>
      <a:dk2>
        <a:srgbClr val="3D465A"/>
      </a:dk2>
      <a:lt2>
        <a:srgbClr val="D3370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402"/>
  <sheetViews>
    <sheetView tabSelected="1" topLeftCell="M10" workbookViewId="0">
      <selection activeCell="R14" sqref="R14"/>
    </sheetView>
  </sheetViews>
  <sheetFormatPr defaultColWidth="0" defaultRowHeight="14.25" x14ac:dyDescent="0.2"/>
  <cols>
    <col min="1" max="1" width="2.875" customWidth="1"/>
    <col min="2" max="2" width="1" customWidth="1"/>
    <col min="3" max="3" width="14.625" customWidth="1"/>
    <col min="4" max="4" width="11.25" customWidth="1"/>
    <col min="5" max="5" width="1" customWidth="1"/>
    <col min="6" max="6" width="2.875" customWidth="1"/>
    <col min="7" max="7" width="0.875" customWidth="1"/>
    <col min="8" max="8" width="9.875" customWidth="1"/>
    <col min="9" max="10" width="8.5" customWidth="1"/>
    <col min="11" max="13" width="13.375" customWidth="1"/>
    <col min="14" max="14" width="2.25" customWidth="1"/>
    <col min="15" max="15" width="1.125" customWidth="1"/>
    <col min="16" max="16" width="2.625" customWidth="1"/>
    <col min="17" max="17" width="1" customWidth="1"/>
    <col min="18" max="19" width="8.5" customWidth="1"/>
    <col min="20" max="20" width="4.875" customWidth="1"/>
    <col min="21" max="25" width="13.75" customWidth="1"/>
    <col min="26" max="26" width="8.375" customWidth="1"/>
    <col min="27" max="28" width="13.75" customWidth="1"/>
    <col min="29" max="29" width="2" style="56" bestFit="1" customWidth="1"/>
    <col min="30" max="30" width="9" customWidth="1"/>
    <col min="31" max="16384" width="9" hidden="1"/>
  </cols>
  <sheetData>
    <row r="1" spans="1:30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51"/>
      <c r="AD1" s="1"/>
    </row>
    <row r="2" spans="1:30" x14ac:dyDescent="0.2">
      <c r="A2" s="1"/>
      <c r="B2" s="2"/>
      <c r="C2" s="3"/>
      <c r="D2" s="3"/>
      <c r="E2" s="4"/>
      <c r="F2" s="1"/>
      <c r="G2" s="2"/>
      <c r="H2" s="3"/>
      <c r="I2" s="3"/>
      <c r="J2" s="3"/>
      <c r="K2" s="3"/>
      <c r="L2" s="3"/>
      <c r="M2" s="3"/>
      <c r="N2" s="3"/>
      <c r="O2" s="4"/>
      <c r="P2" s="1"/>
      <c r="Q2" s="2"/>
      <c r="R2" s="34" t="s">
        <v>386</v>
      </c>
      <c r="S2" s="3"/>
      <c r="T2" s="3"/>
      <c r="U2" s="3"/>
      <c r="V2" s="3"/>
      <c r="W2" s="3"/>
      <c r="X2" s="3"/>
      <c r="Y2" s="3"/>
      <c r="Z2" s="3"/>
      <c r="AA2" s="3"/>
      <c r="AB2" s="3"/>
      <c r="AC2" s="52"/>
      <c r="AD2" s="1"/>
    </row>
    <row r="3" spans="1:30" ht="34.5" x14ac:dyDescent="0.45">
      <c r="A3" s="1"/>
      <c r="B3" s="5"/>
      <c r="C3" s="6" t="s">
        <v>0</v>
      </c>
      <c r="E3" s="7"/>
      <c r="F3" s="1"/>
      <c r="G3" s="5"/>
      <c r="H3" s="6" t="s">
        <v>375</v>
      </c>
      <c r="O3" s="7"/>
      <c r="P3" s="1"/>
      <c r="Q3" s="5"/>
      <c r="R3" s="6" t="s">
        <v>385</v>
      </c>
      <c r="AC3" s="53" t="s">
        <v>117</v>
      </c>
      <c r="AD3" s="1"/>
    </row>
    <row r="4" spans="1:30" ht="15.75" thickBot="1" x14ac:dyDescent="0.3">
      <c r="A4" s="1"/>
      <c r="B4" s="5"/>
      <c r="C4" t="s">
        <v>10</v>
      </c>
      <c r="D4" s="19" t="s">
        <v>12</v>
      </c>
      <c r="E4" s="7"/>
      <c r="F4" s="1"/>
      <c r="G4" s="5"/>
      <c r="H4" s="9"/>
      <c r="O4" s="7"/>
      <c r="P4" s="1"/>
      <c r="Q4" s="5"/>
      <c r="R4" s="9"/>
      <c r="AC4" s="53" t="s">
        <v>117</v>
      </c>
      <c r="AD4" s="1"/>
    </row>
    <row r="5" spans="1:30" ht="15.75" thickTop="1" x14ac:dyDescent="0.25">
      <c r="A5" s="1"/>
      <c r="B5" s="5"/>
      <c r="C5" t="s">
        <v>9</v>
      </c>
      <c r="D5" s="19" t="s">
        <v>13</v>
      </c>
      <c r="E5" s="7"/>
      <c r="F5" s="1"/>
      <c r="G5" s="5"/>
      <c r="H5" s="32" t="s">
        <v>378</v>
      </c>
      <c r="M5" s="49">
        <f ca="1">AG_SMLK("0,2,SS6,LA,F={P}1,K=DbC,F=A,K=/LA/Ldg,F=81500,T=81500,K=/LA/AccCde,F={P}2,T={P}3,K=/LA/Prd,F={P}4,T={P}5,K=/LA/T0/57,F={P}6,T={P}7,K=/LA/TC0,F={P}8,T={P}9,K=/LA/JnlNo,F=!,T=!,K=/LA/TC7,F=*?LA06-O,T=*?LA06-O,K=/LA/TC5,E=-1,O=/LA/BseAmt,",Process!M5,businessUnit,period,periodTo,group,group,entity,entity,jrnl,jrnl)</f>
        <v>12243.76</v>
      </c>
      <c r="O5" s="7"/>
      <c r="P5" s="1"/>
      <c r="Q5" s="5"/>
      <c r="R5" s="10"/>
      <c r="V5" s="36" t="s">
        <v>422</v>
      </c>
      <c r="W5" s="37"/>
      <c r="X5" s="37" t="s">
        <v>423</v>
      </c>
      <c r="AC5" s="53" t="s">
        <v>117</v>
      </c>
      <c r="AD5" s="1"/>
    </row>
    <row r="6" spans="1:30" ht="15.75" thickBot="1" x14ac:dyDescent="0.3">
      <c r="A6" s="1"/>
      <c r="B6" s="5"/>
      <c r="C6" t="s">
        <v>374</v>
      </c>
      <c r="D6" s="11" t="s">
        <v>2</v>
      </c>
      <c r="E6" s="7"/>
      <c r="F6" s="1"/>
      <c r="G6" s="5"/>
      <c r="H6" s="32" t="s">
        <v>377</v>
      </c>
      <c r="M6" s="49">
        <v>0</v>
      </c>
      <c r="O6" s="7"/>
      <c r="P6" s="1"/>
      <c r="Q6" s="5"/>
      <c r="R6" s="12" t="s">
        <v>416</v>
      </c>
      <c r="S6" s="12" t="s">
        <v>417</v>
      </c>
      <c r="T6" s="12" t="s">
        <v>415</v>
      </c>
      <c r="U6" s="21" t="s">
        <v>418</v>
      </c>
      <c r="V6" s="21" t="s">
        <v>419</v>
      </c>
      <c r="W6" s="38" t="s">
        <v>420</v>
      </c>
      <c r="X6" s="38" t="s">
        <v>420</v>
      </c>
      <c r="Y6" s="21" t="s">
        <v>421</v>
      </c>
      <c r="Z6" s="43" t="s">
        <v>428</v>
      </c>
      <c r="AA6" s="21" t="s">
        <v>427</v>
      </c>
      <c r="AB6" s="21" t="s">
        <v>426</v>
      </c>
      <c r="AC6" s="53" t="s">
        <v>117</v>
      </c>
      <c r="AD6" s="1"/>
    </row>
    <row r="7" spans="1:30" ht="15.75" thickTop="1" x14ac:dyDescent="0.25">
      <c r="A7" s="1"/>
      <c r="B7" s="5"/>
      <c r="C7" t="s">
        <v>1</v>
      </c>
      <c r="D7" s="11" t="s">
        <v>2</v>
      </c>
      <c r="E7" s="7"/>
      <c r="F7" s="1"/>
      <c r="G7" s="5"/>
      <c r="H7" s="33" t="s">
        <v>376</v>
      </c>
      <c r="I7" s="31"/>
      <c r="J7" s="31"/>
      <c r="K7" s="31"/>
      <c r="L7" s="31"/>
      <c r="M7" s="50">
        <f ca="1">SUM(M5:M6)</f>
        <v>12243.76</v>
      </c>
      <c r="O7" s="7"/>
      <c r="P7" s="1"/>
      <c r="Q7" s="5"/>
      <c r="R7" s="41">
        <f ca="1">AG_SMRT("0,srptVATUpdateJournal,1",businessUnit,period,periodTo,group,group,entity,entity)</f>
        <v>26158</v>
      </c>
      <c r="S7" s="41">
        <v>1</v>
      </c>
      <c r="T7" s="39" t="s">
        <v>388</v>
      </c>
      <c r="U7" s="40">
        <v>7470.07</v>
      </c>
      <c r="V7" s="40">
        <v>7470.07</v>
      </c>
      <c r="W7" s="40">
        <v>0</v>
      </c>
      <c r="X7" s="44"/>
      <c r="Y7" s="44"/>
      <c r="Z7" s="45"/>
      <c r="AA7" s="44"/>
      <c r="AB7" s="44"/>
      <c r="AC7" s="53" t="s">
        <v>117</v>
      </c>
      <c r="AD7" s="1"/>
    </row>
    <row r="8" spans="1:30" x14ac:dyDescent="0.2">
      <c r="A8" s="1"/>
      <c r="B8" s="5"/>
      <c r="C8" t="s">
        <v>11</v>
      </c>
      <c r="D8" s="8">
        <v>42153</v>
      </c>
      <c r="E8" s="7"/>
      <c r="F8" s="1"/>
      <c r="G8" s="5"/>
      <c r="H8" s="32" t="s">
        <v>379</v>
      </c>
      <c r="M8" s="49">
        <f ca="1">AG_SMLK("0,2,SS6,LA,F={P}1,K=DbC,F=A,K=/LA/Ldg,F=81500,T=81500,K=/LA/AccCde,F={P}2,T={P}3,K=/LA/Prd,F={P}4,T={P}5,K=/LA/T0/57,F={P}6,T={P}7,K=/LA/TC0,F={P}8,T={P}9,K=/LA/JnlNo,F=!,T=!,K=/LA/TC7,F=*?LA06-I,T=*?LA06-I,K=/LA/TC5,E=1,O=/LA/BseAmt,",Process!M8,businessUnit,period,periodTo,group,group,entity,entity,jrnl,jrnl)</f>
        <v>22175.47</v>
      </c>
      <c r="O8" s="7"/>
      <c r="P8" s="1"/>
      <c r="Q8" s="5"/>
      <c r="R8" s="41">
        <v>41099</v>
      </c>
      <c r="S8" s="41">
        <v>9</v>
      </c>
      <c r="T8" s="39" t="s">
        <v>388</v>
      </c>
      <c r="U8" s="40">
        <v>18</v>
      </c>
      <c r="V8" s="40">
        <v>18</v>
      </c>
      <c r="W8" s="40">
        <v>0</v>
      </c>
      <c r="X8" s="44"/>
      <c r="Y8" s="44"/>
      <c r="Z8" s="45"/>
      <c r="AA8" s="44"/>
      <c r="AB8" s="44"/>
      <c r="AC8" s="53" t="s">
        <v>117</v>
      </c>
      <c r="AD8" s="1"/>
    </row>
    <row r="9" spans="1:30" ht="15" x14ac:dyDescent="0.25">
      <c r="A9" s="1"/>
      <c r="B9" s="5"/>
      <c r="C9" t="s">
        <v>4</v>
      </c>
      <c r="D9" s="11" t="s">
        <v>2</v>
      </c>
      <c r="E9" s="7"/>
      <c r="F9" s="1"/>
      <c r="G9" s="5"/>
      <c r="H9" s="33" t="s">
        <v>384</v>
      </c>
      <c r="I9" s="31"/>
      <c r="J9" s="31"/>
      <c r="K9" s="31"/>
      <c r="L9" s="31"/>
      <c r="M9" s="50">
        <f ca="1">M7-M8</f>
        <v>-9931.7100000000009</v>
      </c>
      <c r="O9" s="7"/>
      <c r="P9" s="1"/>
      <c r="Q9" s="5"/>
      <c r="R9" s="41">
        <v>41100</v>
      </c>
      <c r="S9" s="41">
        <v>4</v>
      </c>
      <c r="T9" s="39" t="s">
        <v>388</v>
      </c>
      <c r="U9" s="40">
        <v>24</v>
      </c>
      <c r="V9" s="40">
        <v>24</v>
      </c>
      <c r="W9" s="40">
        <v>0</v>
      </c>
      <c r="X9" s="44"/>
      <c r="Y9" s="44"/>
      <c r="Z9" s="45"/>
      <c r="AA9" s="44"/>
      <c r="AB9" s="44"/>
      <c r="AC9" s="53" t="s">
        <v>117</v>
      </c>
      <c r="AD9" s="1"/>
    </row>
    <row r="10" spans="1:30" x14ac:dyDescent="0.2">
      <c r="A10" s="1"/>
      <c r="B10" s="5"/>
      <c r="C10" t="s">
        <v>424</v>
      </c>
      <c r="D10" s="11">
        <v>70100</v>
      </c>
      <c r="E10" s="7"/>
      <c r="F10" s="1"/>
      <c r="G10" s="5"/>
      <c r="H10" s="32" t="s">
        <v>380</v>
      </c>
      <c r="M10" s="49">
        <f ca="1">AG_SMLK("0,2,SS6,LA,F={P}1,K=DbC,F=A,K=/LA/Ldg,F=&lt;&lt;1..59999{Cm}85000,T=81500,K=/LA/AccCde,F={P}2,T={P}3,K=/LA/Prd,F={P}4,T={P}5,K=/LA/T0/57,F={P}6,T={P}7,K=/LA/TC0,F={P}8,T={P}9,K=/LA/JnlNo,F=!,T=!,K=/LA/TC7,F=*?LA06-O,T=*?LA06-O,K=/LA/TC5,E=-1,O=/LA/BseAmt,",Process!M10,businessUnit,period,periodTo,group,group,entity,entity,jrnl,jrnl)</f>
        <v>6041874.4400000004</v>
      </c>
      <c r="O10" s="7"/>
      <c r="P10" s="1"/>
      <c r="Q10" s="5"/>
      <c r="R10" s="41">
        <v>41119</v>
      </c>
      <c r="S10" s="41">
        <v>3</v>
      </c>
      <c r="T10" s="39" t="s">
        <v>388</v>
      </c>
      <c r="U10" s="40">
        <v>37.799999999999997</v>
      </c>
      <c r="V10" s="40">
        <v>37.799999999999997</v>
      </c>
      <c r="W10" s="40">
        <v>0</v>
      </c>
      <c r="X10" s="44"/>
      <c r="Y10" s="44"/>
      <c r="Z10" s="45"/>
      <c r="AA10" s="44"/>
      <c r="AB10" s="44"/>
      <c r="AC10" s="53" t="s">
        <v>117</v>
      </c>
      <c r="AD10" s="1"/>
    </row>
    <row r="11" spans="1:30" x14ac:dyDescent="0.2">
      <c r="A11" s="1"/>
      <c r="B11" s="5"/>
      <c r="E11" s="7"/>
      <c r="F11" s="1"/>
      <c r="G11" s="5"/>
      <c r="H11" s="32" t="s">
        <v>381</v>
      </c>
      <c r="M11" s="49">
        <f ca="1">AG_SMLK("0,2,SS6,LA,F={P}1,K=DbC,F=A,K=/LA/Ldg,F=&lt;&lt;1..59999{Cm}85000,T=81500,K=/LA/AccCde,F={P}2,T={P}3,K=/LA/Prd,F={P}4,T={P}5,K=/LA/T0/57,F={P}6,T={P}7,K=/LA/TC0,F={P}8,T={P}9,K=/LA/JnlNo,F=!,T=!,K=/LA/TC7,F=*?LA06-I,T=*?LA06-I,K=/LA/TC5,E=1,O=/LA/BseAmt,",Process!M11,businessUnit,period,periodTo,group,group,entity,entity,jrnl,jrnl)</f>
        <v>5942423.2199999997</v>
      </c>
      <c r="O11" s="7"/>
      <c r="P11" s="1"/>
      <c r="Q11" s="5"/>
      <c r="R11" s="41">
        <v>41121</v>
      </c>
      <c r="S11" s="41">
        <v>3</v>
      </c>
      <c r="T11" s="39" t="s">
        <v>388</v>
      </c>
      <c r="U11" s="40">
        <v>58.55</v>
      </c>
      <c r="V11" s="40">
        <v>58.55</v>
      </c>
      <c r="W11" s="40">
        <v>0</v>
      </c>
      <c r="X11" s="44"/>
      <c r="Y11" s="44"/>
      <c r="Z11" s="45"/>
      <c r="AA11" s="44"/>
      <c r="AB11" s="44"/>
      <c r="AC11" s="53" t="s">
        <v>117</v>
      </c>
      <c r="AD11" s="1"/>
    </row>
    <row r="12" spans="1:30" ht="15" x14ac:dyDescent="0.25">
      <c r="A12" s="1"/>
      <c r="B12" s="5"/>
      <c r="C12" s="13" t="s">
        <v>5</v>
      </c>
      <c r="E12" s="7"/>
      <c r="F12" s="1"/>
      <c r="G12" s="5"/>
      <c r="H12" s="32" t="s">
        <v>382</v>
      </c>
      <c r="M12" s="49">
        <v>0</v>
      </c>
      <c r="O12" s="7"/>
      <c r="P12" s="1"/>
      <c r="Q12" s="5"/>
      <c r="R12" s="46"/>
      <c r="S12" s="46"/>
      <c r="T12" s="46" t="s">
        <v>388</v>
      </c>
      <c r="U12" s="42">
        <f ca="1">SUM(U7:U11)</f>
        <v>7608.42</v>
      </c>
      <c r="V12" s="42">
        <f ca="1">SUM(V7:V11)</f>
        <v>7608.42</v>
      </c>
      <c r="W12" s="47">
        <f ca="1">SUM(W7:W11)</f>
        <v>0</v>
      </c>
      <c r="X12" s="42">
        <v>1</v>
      </c>
      <c r="Y12" s="42">
        <f ca="1">W12-X12</f>
        <v>0</v>
      </c>
      <c r="Z12" s="46" t="s">
        <v>433</v>
      </c>
      <c r="AA12" s="42">
        <f ca="1">IF(Z12=$D$15,0,U12)</f>
        <v>0</v>
      </c>
      <c r="AB12" s="42">
        <f ca="1">IF(T12="GBP",0,U12)</f>
        <v>0</v>
      </c>
      <c r="AC12" s="54" t="s">
        <v>119</v>
      </c>
      <c r="AD12" s="1"/>
    </row>
    <row r="13" spans="1:30" x14ac:dyDescent="0.2">
      <c r="A13" s="1"/>
      <c r="B13" s="5"/>
      <c r="C13" t="s">
        <v>6</v>
      </c>
      <c r="D13" s="14" t="s">
        <v>7</v>
      </c>
      <c r="E13" s="7"/>
      <c r="F13" s="1"/>
      <c r="G13" s="5"/>
      <c r="H13" s="32" t="s">
        <v>383</v>
      </c>
      <c r="M13" s="49">
        <v>0</v>
      </c>
      <c r="O13" s="7"/>
      <c r="P13" s="1"/>
      <c r="Q13" s="5"/>
      <c r="R13" s="41">
        <v>23794</v>
      </c>
      <c r="S13" s="41">
        <v>1</v>
      </c>
      <c r="T13" s="39" t="s">
        <v>388</v>
      </c>
      <c r="U13" s="40">
        <v>-56069.4</v>
      </c>
      <c r="V13" s="40">
        <v>-56069.4</v>
      </c>
      <c r="W13" s="40">
        <v>0</v>
      </c>
      <c r="X13" s="44"/>
      <c r="Y13" s="44"/>
      <c r="Z13" s="45"/>
      <c r="AA13" s="44"/>
      <c r="AB13" s="44"/>
      <c r="AC13" s="53" t="s">
        <v>117</v>
      </c>
      <c r="AD13" s="1"/>
    </row>
    <row r="14" spans="1:30" ht="15" thickBot="1" x14ac:dyDescent="0.25">
      <c r="A14" s="1"/>
      <c r="B14" s="5"/>
      <c r="C14" t="s">
        <v>8</v>
      </c>
      <c r="D14" s="15" t="str">
        <f ca="1">[1]!AG_SMLK("0,2,SS6,LA,F={P}1,K=DbC,F=A,K=/LA/Ldg,F=&lt;ALL&gt;,K=/LA/AccCde,F=PA  +0,K=/LA/Prd,E=5,O=/LA/Prd,",Process!D14,businessUnit)</f>
        <v>2015/005</v>
      </c>
      <c r="E14" s="7"/>
      <c r="F14" s="1"/>
      <c r="G14" s="16"/>
      <c r="H14" s="17"/>
      <c r="I14" s="17"/>
      <c r="J14" s="17"/>
      <c r="K14" s="17"/>
      <c r="L14" s="17"/>
      <c r="M14" s="17"/>
      <c r="N14" s="17"/>
      <c r="O14" s="18"/>
      <c r="P14" s="1"/>
      <c r="Q14" s="5"/>
      <c r="R14" s="46"/>
      <c r="S14" s="46" t="s">
        <v>16</v>
      </c>
      <c r="T14" s="46" t="s">
        <v>388</v>
      </c>
      <c r="U14" s="42">
        <f ca="1">SUM(U13:U13)</f>
        <v>-56069.4</v>
      </c>
      <c r="V14" s="42">
        <f ca="1">SUM(V13:V13)</f>
        <v>-56069.4</v>
      </c>
      <c r="W14" s="47">
        <f ca="1">SUM(W13:W13)</f>
        <v>0</v>
      </c>
      <c r="X14" s="42">
        <v>1</v>
      </c>
      <c r="Y14" s="42">
        <f ca="1">W14-X14</f>
        <v>0</v>
      </c>
      <c r="Z14" s="46" t="s">
        <v>434</v>
      </c>
      <c r="AA14" s="42">
        <f ca="1">IF(Z14=$D$15,0,U14)</f>
        <v>-56069.4</v>
      </c>
      <c r="AB14" s="42">
        <f ca="1">IF(T14="GBP",0,U14)</f>
        <v>0</v>
      </c>
      <c r="AC14" s="54" t="s">
        <v>119</v>
      </c>
      <c r="AD14" s="1"/>
    </row>
    <row r="15" spans="1:30" x14ac:dyDescent="0.2">
      <c r="A15" s="1"/>
      <c r="B15" s="5"/>
      <c r="C15" t="s">
        <v>425</v>
      </c>
      <c r="D15" s="15" t="str">
        <f ca="1">[1]!AG_DTLK("0,2,SS6,CA,F={P}1,K=DbC,F=&lt;ALL&gt;,K=/CA/AccTyp,F={P}2,K=/CA/Cde,E=0,O=/CA/AC4,",Process!D15,businessUnit,bankAcct)</f>
        <v>LA01-100</v>
      </c>
      <c r="E15" s="7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5"/>
      <c r="R15" s="41">
        <v>10013</v>
      </c>
      <c r="S15" s="41">
        <v>1</v>
      </c>
      <c r="T15" s="39" t="s">
        <v>388</v>
      </c>
      <c r="U15" s="40">
        <v>31.11</v>
      </c>
      <c r="V15" s="40">
        <v>31.11</v>
      </c>
      <c r="W15" s="40">
        <v>0</v>
      </c>
      <c r="X15" s="44"/>
      <c r="Y15" s="44"/>
      <c r="Z15" s="45"/>
      <c r="AA15" s="44"/>
      <c r="AB15" s="44"/>
      <c r="AC15" s="53" t="s">
        <v>117</v>
      </c>
      <c r="AD15" s="1"/>
    </row>
    <row r="16" spans="1:30" ht="15" thickBot="1" x14ac:dyDescent="0.25">
      <c r="A16" s="1"/>
      <c r="B16" s="16"/>
      <c r="C16" s="17"/>
      <c r="D16" s="17"/>
      <c r="E16" s="18"/>
      <c r="F16" s="1"/>
      <c r="G16" s="2"/>
      <c r="H16" s="3"/>
      <c r="I16" s="3"/>
      <c r="J16" s="3"/>
      <c r="K16" s="3"/>
      <c r="L16" s="3"/>
      <c r="M16" s="3"/>
      <c r="N16" s="3"/>
      <c r="O16" s="4"/>
      <c r="P16" s="1"/>
      <c r="Q16" s="5"/>
      <c r="R16" s="41">
        <v>10044</v>
      </c>
      <c r="S16" s="41">
        <v>3</v>
      </c>
      <c r="T16" s="39" t="s">
        <v>388</v>
      </c>
      <c r="U16" s="40">
        <v>30.06</v>
      </c>
      <c r="V16" s="40">
        <v>30.06</v>
      </c>
      <c r="W16" s="40">
        <v>0</v>
      </c>
      <c r="X16" s="44"/>
      <c r="Y16" s="44"/>
      <c r="Z16" s="45"/>
      <c r="AA16" s="44"/>
      <c r="AB16" s="44"/>
      <c r="AC16" s="53" t="s">
        <v>117</v>
      </c>
      <c r="AD16" s="1"/>
    </row>
    <row r="17" spans="1:30" ht="34.5" x14ac:dyDescent="0.45">
      <c r="A17" s="1"/>
      <c r="B17" s="1"/>
      <c r="C17" s="1"/>
      <c r="D17" s="1"/>
      <c r="E17" s="1"/>
      <c r="F17" s="1"/>
      <c r="G17" s="5"/>
      <c r="H17" s="6" t="s">
        <v>373</v>
      </c>
      <c r="O17" s="7"/>
      <c r="P17" s="1"/>
      <c r="Q17" s="5"/>
      <c r="R17" s="41">
        <v>10058</v>
      </c>
      <c r="S17" s="41">
        <v>3</v>
      </c>
      <c r="T17" s="39" t="s">
        <v>388</v>
      </c>
      <c r="U17" s="40">
        <v>49.42</v>
      </c>
      <c r="V17" s="40">
        <v>49.42</v>
      </c>
      <c r="W17" s="40">
        <v>0</v>
      </c>
      <c r="X17" s="44"/>
      <c r="Y17" s="44"/>
      <c r="Z17" s="45"/>
      <c r="AA17" s="44"/>
      <c r="AB17" s="44"/>
      <c r="AC17" s="53" t="s">
        <v>117</v>
      </c>
      <c r="AD17" s="1"/>
    </row>
    <row r="18" spans="1:30" x14ac:dyDescent="0.2">
      <c r="A18" s="1"/>
      <c r="B18" s="1"/>
      <c r="C18" s="1"/>
      <c r="D18" s="1"/>
      <c r="E18" s="1"/>
      <c r="F18" s="1"/>
      <c r="G18" s="5"/>
      <c r="H18" s="10"/>
      <c r="O18" s="7"/>
      <c r="P18" s="1"/>
      <c r="Q18" s="5"/>
      <c r="R18" s="41">
        <v>10059</v>
      </c>
      <c r="S18" s="41">
        <v>1</v>
      </c>
      <c r="T18" s="39" t="s">
        <v>388</v>
      </c>
      <c r="U18" s="40">
        <v>15.37</v>
      </c>
      <c r="V18" s="40">
        <v>15.37</v>
      </c>
      <c r="W18" s="40">
        <v>0</v>
      </c>
      <c r="X18" s="44"/>
      <c r="Y18" s="44"/>
      <c r="Z18" s="45"/>
      <c r="AA18" s="44"/>
      <c r="AB18" s="44"/>
      <c r="AC18" s="53" t="s">
        <v>117</v>
      </c>
      <c r="AD18" s="1"/>
    </row>
    <row r="19" spans="1:30" ht="15.75" thickBot="1" x14ac:dyDescent="0.3">
      <c r="A19" s="1"/>
      <c r="B19" s="1"/>
      <c r="C19" s="1"/>
      <c r="D19" s="1"/>
      <c r="E19" s="1"/>
      <c r="F19" s="1"/>
      <c r="G19" s="5"/>
      <c r="H19" s="12" t="s">
        <v>3</v>
      </c>
      <c r="I19" s="12" t="s">
        <v>115</v>
      </c>
      <c r="J19" s="21" t="s">
        <v>116</v>
      </c>
      <c r="K19" s="21" t="s">
        <v>124</v>
      </c>
      <c r="L19" s="21" t="s">
        <v>126</v>
      </c>
      <c r="M19" s="21" t="s">
        <v>125</v>
      </c>
      <c r="O19" s="7"/>
      <c r="P19" s="1"/>
      <c r="Q19" s="5"/>
      <c r="R19" s="41">
        <v>10063</v>
      </c>
      <c r="S19" s="41">
        <v>5</v>
      </c>
      <c r="T19" s="39" t="s">
        <v>388</v>
      </c>
      <c r="U19" s="40">
        <v>50.35</v>
      </c>
      <c r="V19" s="40">
        <v>50.35</v>
      </c>
      <c r="W19" s="40">
        <v>0</v>
      </c>
      <c r="X19" s="44"/>
      <c r="Y19" s="44"/>
      <c r="Z19" s="45"/>
      <c r="AA19" s="44"/>
      <c r="AB19" s="44"/>
      <c r="AC19" s="53" t="s">
        <v>117</v>
      </c>
      <c r="AD19" s="1"/>
    </row>
    <row r="20" spans="1:30" ht="15" thickTop="1" x14ac:dyDescent="0.2">
      <c r="A20" s="1"/>
      <c r="B20" s="1"/>
      <c r="C20" s="1"/>
      <c r="D20" s="1"/>
      <c r="E20" s="1"/>
      <c r="F20" s="1"/>
      <c r="G20" s="5"/>
      <c r="H20" s="24" t="str">
        <f ca="1">AG_SMRT("0,Summary Report 1,1",businessUnit,period,periodTo,group,group,entity,entity)</f>
        <v/>
      </c>
      <c r="I20" s="24" t="s">
        <v>16</v>
      </c>
      <c r="J20" s="23">
        <v>0</v>
      </c>
      <c r="K20" s="25">
        <v>-40.47</v>
      </c>
      <c r="L20" s="25">
        <f t="shared" ref="L20:L51" ca="1" si="0">ROUND(J20*K20,2)</f>
        <v>0</v>
      </c>
      <c r="M20" s="25"/>
      <c r="N20" s="35">
        <f t="shared" ref="N20:N83" ca="1" si="1">IF(AND(M20&gt;L20-0.1,M20&lt;L20+0.1),0,1)</f>
        <v>0</v>
      </c>
      <c r="O20" s="26" t="s">
        <v>117</v>
      </c>
      <c r="P20" s="1"/>
      <c r="Q20" s="5"/>
      <c r="R20" s="41">
        <v>10064</v>
      </c>
      <c r="S20" s="41">
        <v>1</v>
      </c>
      <c r="T20" s="39" t="s">
        <v>388</v>
      </c>
      <c r="U20" s="40">
        <v>550</v>
      </c>
      <c r="V20" s="40">
        <v>550</v>
      </c>
      <c r="W20" s="40">
        <v>0</v>
      </c>
      <c r="X20" s="44"/>
      <c r="Y20" s="44"/>
      <c r="Z20" s="45"/>
      <c r="AA20" s="44"/>
      <c r="AB20" s="44"/>
      <c r="AC20" s="53" t="s">
        <v>117</v>
      </c>
      <c r="AD20" s="1"/>
    </row>
    <row r="21" spans="1:30" x14ac:dyDescent="0.2">
      <c r="A21" s="1"/>
      <c r="B21" s="1"/>
      <c r="C21" s="1"/>
      <c r="D21" s="1"/>
      <c r="E21" s="1"/>
      <c r="F21" s="1"/>
      <c r="G21" s="5"/>
      <c r="H21" s="24" t="s">
        <v>128</v>
      </c>
      <c r="I21" s="24" t="s">
        <v>16</v>
      </c>
      <c r="J21" s="23">
        <v>0</v>
      </c>
      <c r="K21" s="25">
        <v>48067.5</v>
      </c>
      <c r="L21" s="25">
        <f t="shared" ca="1" si="0"/>
        <v>0</v>
      </c>
      <c r="M21" s="25"/>
      <c r="N21" s="35">
        <f t="shared" ca="1" si="1"/>
        <v>0</v>
      </c>
      <c r="O21" s="26" t="s">
        <v>117</v>
      </c>
      <c r="P21" s="1"/>
      <c r="Q21" s="5"/>
      <c r="R21" s="41">
        <v>10066</v>
      </c>
      <c r="S21" s="41">
        <v>3</v>
      </c>
      <c r="T21" s="39" t="s">
        <v>388</v>
      </c>
      <c r="U21" s="40">
        <v>250</v>
      </c>
      <c r="V21" s="40">
        <v>250</v>
      </c>
      <c r="W21" s="40">
        <v>0</v>
      </c>
      <c r="X21" s="44"/>
      <c r="Y21" s="44"/>
      <c r="Z21" s="45"/>
      <c r="AA21" s="44"/>
      <c r="AB21" s="44"/>
      <c r="AC21" s="53" t="s">
        <v>117</v>
      </c>
      <c r="AD21" s="1"/>
    </row>
    <row r="22" spans="1:30" x14ac:dyDescent="0.2">
      <c r="A22" s="1"/>
      <c r="B22" s="1"/>
      <c r="C22" s="1"/>
      <c r="D22" s="1"/>
      <c r="E22" s="1"/>
      <c r="F22" s="1"/>
      <c r="G22" s="5"/>
      <c r="H22" s="24" t="s">
        <v>129</v>
      </c>
      <c r="I22" s="24" t="s">
        <v>16</v>
      </c>
      <c r="J22" s="23">
        <v>0</v>
      </c>
      <c r="K22" s="25">
        <v>23171</v>
      </c>
      <c r="L22" s="25">
        <f t="shared" ca="1" si="0"/>
        <v>0</v>
      </c>
      <c r="M22" s="25"/>
      <c r="N22" s="35">
        <f t="shared" ca="1" si="1"/>
        <v>0</v>
      </c>
      <c r="O22" s="26" t="s">
        <v>117</v>
      </c>
      <c r="P22" s="1"/>
      <c r="Q22" s="5"/>
      <c r="R22" s="41">
        <v>10067</v>
      </c>
      <c r="S22" s="41">
        <v>1</v>
      </c>
      <c r="T22" s="39" t="s">
        <v>388</v>
      </c>
      <c r="U22" s="40">
        <v>-550</v>
      </c>
      <c r="V22" s="40">
        <v>-550</v>
      </c>
      <c r="W22" s="40">
        <v>0</v>
      </c>
      <c r="X22" s="44"/>
      <c r="Y22" s="44"/>
      <c r="Z22" s="45"/>
      <c r="AA22" s="44"/>
      <c r="AB22" s="44"/>
      <c r="AC22" s="53" t="s">
        <v>117</v>
      </c>
      <c r="AD22" s="1"/>
    </row>
    <row r="23" spans="1:30" x14ac:dyDescent="0.2">
      <c r="A23" s="1"/>
      <c r="B23" s="1"/>
      <c r="C23" s="1"/>
      <c r="D23" s="1"/>
      <c r="E23" s="1"/>
      <c r="F23" s="1"/>
      <c r="G23" s="5"/>
      <c r="H23" s="24" t="s">
        <v>444</v>
      </c>
      <c r="I23" s="24" t="s">
        <v>16</v>
      </c>
      <c r="J23" s="23">
        <v>0</v>
      </c>
      <c r="K23" s="25">
        <v>611.86</v>
      </c>
      <c r="L23" s="25">
        <f t="shared" ca="1" si="0"/>
        <v>0</v>
      </c>
      <c r="M23" s="25"/>
      <c r="N23" s="35">
        <f t="shared" ca="1" si="1"/>
        <v>0</v>
      </c>
      <c r="O23" s="26" t="s">
        <v>117</v>
      </c>
      <c r="P23" s="1"/>
      <c r="Q23" s="5"/>
      <c r="R23" s="41">
        <v>10076</v>
      </c>
      <c r="S23" s="41">
        <v>3</v>
      </c>
      <c r="T23" s="39" t="s">
        <v>388</v>
      </c>
      <c r="U23" s="40">
        <v>10.09</v>
      </c>
      <c r="V23" s="40">
        <v>10.09</v>
      </c>
      <c r="W23" s="40">
        <v>0</v>
      </c>
      <c r="X23" s="44"/>
      <c r="Y23" s="44"/>
      <c r="Z23" s="45"/>
      <c r="AA23" s="44"/>
      <c r="AB23" s="44"/>
      <c r="AC23" s="53" t="s">
        <v>117</v>
      </c>
      <c r="AD23" s="1"/>
    </row>
    <row r="24" spans="1:30" x14ac:dyDescent="0.2">
      <c r="A24" s="1"/>
      <c r="B24" s="1"/>
      <c r="C24" s="1"/>
      <c r="D24" s="1"/>
      <c r="E24" s="1"/>
      <c r="F24" s="1"/>
      <c r="G24" s="5"/>
      <c r="H24" s="24" t="s">
        <v>130</v>
      </c>
      <c r="I24" s="24" t="s">
        <v>16</v>
      </c>
      <c r="J24" s="23">
        <v>0</v>
      </c>
      <c r="K24" s="25">
        <v>-1091.75</v>
      </c>
      <c r="L24" s="25">
        <f t="shared" ca="1" si="0"/>
        <v>0</v>
      </c>
      <c r="M24" s="25"/>
      <c r="N24" s="35">
        <f t="shared" ca="1" si="1"/>
        <v>0</v>
      </c>
      <c r="O24" s="26" t="s">
        <v>117</v>
      </c>
      <c r="P24" s="1"/>
      <c r="Q24" s="5"/>
      <c r="R24" s="41">
        <v>10077</v>
      </c>
      <c r="S24" s="41">
        <v>1</v>
      </c>
      <c r="T24" s="39" t="s">
        <v>388</v>
      </c>
      <c r="U24" s="40">
        <v>1290</v>
      </c>
      <c r="V24" s="40">
        <v>1290</v>
      </c>
      <c r="W24" s="40">
        <v>0</v>
      </c>
      <c r="X24" s="44"/>
      <c r="Y24" s="44"/>
      <c r="Z24" s="45"/>
      <c r="AA24" s="44"/>
      <c r="AB24" s="44"/>
      <c r="AC24" s="53" t="s">
        <v>117</v>
      </c>
      <c r="AD24" s="1"/>
    </row>
    <row r="25" spans="1:30" x14ac:dyDescent="0.2">
      <c r="A25" s="1"/>
      <c r="B25" s="1"/>
      <c r="C25" s="1"/>
      <c r="D25" s="1"/>
      <c r="E25" s="1"/>
      <c r="F25" s="1"/>
      <c r="G25" s="5"/>
      <c r="H25" s="24" t="s">
        <v>131</v>
      </c>
      <c r="I25" s="24" t="s">
        <v>16</v>
      </c>
      <c r="J25" s="23">
        <v>0</v>
      </c>
      <c r="K25" s="25">
        <v>1081.73</v>
      </c>
      <c r="L25" s="25">
        <f t="shared" ca="1" si="0"/>
        <v>0</v>
      </c>
      <c r="M25" s="25"/>
      <c r="N25" s="35">
        <f t="shared" ca="1" si="1"/>
        <v>0</v>
      </c>
      <c r="O25" s="26" t="s">
        <v>117</v>
      </c>
      <c r="P25" s="1"/>
      <c r="Q25" s="5"/>
      <c r="R25" s="41">
        <v>10078</v>
      </c>
      <c r="S25" s="41">
        <v>3</v>
      </c>
      <c r="T25" s="39" t="s">
        <v>388</v>
      </c>
      <c r="U25" s="40">
        <v>112.99</v>
      </c>
      <c r="V25" s="40">
        <v>112.99</v>
      </c>
      <c r="W25" s="40">
        <v>0</v>
      </c>
      <c r="X25" s="44"/>
      <c r="Y25" s="44"/>
      <c r="Z25" s="45"/>
      <c r="AA25" s="44"/>
      <c r="AB25" s="44"/>
      <c r="AC25" s="53" t="s">
        <v>117</v>
      </c>
      <c r="AD25" s="1"/>
    </row>
    <row r="26" spans="1:30" x14ac:dyDescent="0.2">
      <c r="A26" s="1"/>
      <c r="B26" s="1"/>
      <c r="C26" s="1"/>
      <c r="D26" s="1"/>
      <c r="E26" s="1"/>
      <c r="F26" s="1"/>
      <c r="G26" s="5"/>
      <c r="H26" s="24" t="s">
        <v>132</v>
      </c>
      <c r="I26" s="24" t="s">
        <v>16</v>
      </c>
      <c r="J26" s="23">
        <v>0</v>
      </c>
      <c r="K26" s="25">
        <v>-935.77</v>
      </c>
      <c r="L26" s="25">
        <f t="shared" ca="1" si="0"/>
        <v>0</v>
      </c>
      <c r="M26" s="25"/>
      <c r="N26" s="35">
        <f t="shared" ca="1" si="1"/>
        <v>0</v>
      </c>
      <c r="O26" s="26" t="s">
        <v>117</v>
      </c>
      <c r="P26" s="1"/>
      <c r="Q26" s="5"/>
      <c r="R26" s="41">
        <v>10088</v>
      </c>
      <c r="S26" s="41">
        <v>3</v>
      </c>
      <c r="T26" s="39" t="s">
        <v>388</v>
      </c>
      <c r="U26" s="40">
        <v>11.66</v>
      </c>
      <c r="V26" s="40">
        <v>11.66</v>
      </c>
      <c r="W26" s="40">
        <v>0</v>
      </c>
      <c r="X26" s="44"/>
      <c r="Y26" s="44"/>
      <c r="Z26" s="45"/>
      <c r="AA26" s="44"/>
      <c r="AB26" s="44"/>
      <c r="AC26" s="53" t="s">
        <v>117</v>
      </c>
      <c r="AD26" s="1"/>
    </row>
    <row r="27" spans="1:30" x14ac:dyDescent="0.2">
      <c r="A27" s="1"/>
      <c r="B27" s="1"/>
      <c r="C27" s="1"/>
      <c r="D27" s="1"/>
      <c r="E27" s="1"/>
      <c r="F27" s="1"/>
      <c r="G27" s="5"/>
      <c r="H27" s="24" t="s">
        <v>133</v>
      </c>
      <c r="I27" s="24" t="s">
        <v>16</v>
      </c>
      <c r="J27" s="23">
        <v>0</v>
      </c>
      <c r="K27" s="25">
        <v>925.77</v>
      </c>
      <c r="L27" s="25">
        <f t="shared" ca="1" si="0"/>
        <v>0</v>
      </c>
      <c r="M27" s="25"/>
      <c r="N27" s="35">
        <f t="shared" ca="1" si="1"/>
        <v>0</v>
      </c>
      <c r="O27" s="26" t="s">
        <v>117</v>
      </c>
      <c r="P27" s="1"/>
      <c r="Q27" s="5"/>
      <c r="R27" s="41">
        <v>10089</v>
      </c>
      <c r="S27" s="41">
        <v>1</v>
      </c>
      <c r="T27" s="39" t="s">
        <v>388</v>
      </c>
      <c r="U27" s="40">
        <v>2790</v>
      </c>
      <c r="V27" s="40">
        <v>2790</v>
      </c>
      <c r="W27" s="40">
        <v>0</v>
      </c>
      <c r="X27" s="44"/>
      <c r="Y27" s="44"/>
      <c r="Z27" s="45"/>
      <c r="AA27" s="44"/>
      <c r="AB27" s="44"/>
      <c r="AC27" s="53" t="s">
        <v>117</v>
      </c>
      <c r="AD27" s="1"/>
    </row>
    <row r="28" spans="1:30" x14ac:dyDescent="0.2">
      <c r="A28" s="1"/>
      <c r="B28" s="1"/>
      <c r="C28" s="1"/>
      <c r="D28" s="1"/>
      <c r="E28" s="1"/>
      <c r="F28" s="1"/>
      <c r="G28" s="5"/>
      <c r="H28" s="24" t="s">
        <v>134</v>
      </c>
      <c r="I28" s="24" t="s">
        <v>16</v>
      </c>
      <c r="J28" s="23">
        <v>0</v>
      </c>
      <c r="K28" s="25">
        <v>51240</v>
      </c>
      <c r="L28" s="25">
        <f t="shared" ca="1" si="0"/>
        <v>0</v>
      </c>
      <c r="M28" s="25"/>
      <c r="N28" s="35">
        <f t="shared" ca="1" si="1"/>
        <v>0</v>
      </c>
      <c r="O28" s="26" t="s">
        <v>117</v>
      </c>
      <c r="P28" s="1"/>
      <c r="Q28" s="5"/>
      <c r="R28" s="41">
        <v>10090</v>
      </c>
      <c r="S28" s="41">
        <v>3</v>
      </c>
      <c r="T28" s="39" t="s">
        <v>388</v>
      </c>
      <c r="U28" s="40">
        <v>30.1</v>
      </c>
      <c r="V28" s="40">
        <v>30.1</v>
      </c>
      <c r="W28" s="40">
        <v>0</v>
      </c>
      <c r="X28" s="44"/>
      <c r="Y28" s="44"/>
      <c r="Z28" s="45"/>
      <c r="AA28" s="44"/>
      <c r="AB28" s="44"/>
      <c r="AC28" s="53" t="s">
        <v>117</v>
      </c>
      <c r="AD28" s="1"/>
    </row>
    <row r="29" spans="1:30" x14ac:dyDescent="0.2">
      <c r="A29" s="1"/>
      <c r="B29" s="1"/>
      <c r="C29" s="1"/>
      <c r="D29" s="1"/>
      <c r="E29" s="1"/>
      <c r="F29" s="1"/>
      <c r="G29" s="5"/>
      <c r="H29" s="24" t="s">
        <v>135</v>
      </c>
      <c r="I29" s="24" t="s">
        <v>16</v>
      </c>
      <c r="J29" s="23">
        <v>0</v>
      </c>
      <c r="K29" s="25">
        <v>22</v>
      </c>
      <c r="L29" s="25">
        <f t="shared" ca="1" si="0"/>
        <v>0</v>
      </c>
      <c r="M29" s="25"/>
      <c r="N29" s="35">
        <f t="shared" ca="1" si="1"/>
        <v>0</v>
      </c>
      <c r="O29" s="26" t="s">
        <v>117</v>
      </c>
      <c r="P29" s="1"/>
      <c r="Q29" s="5"/>
      <c r="R29" s="41">
        <v>10091</v>
      </c>
      <c r="S29" s="41">
        <v>1</v>
      </c>
      <c r="T29" s="39" t="s">
        <v>388</v>
      </c>
      <c r="U29" s="40">
        <v>43.03</v>
      </c>
      <c r="V29" s="40">
        <v>43.03</v>
      </c>
      <c r="W29" s="40">
        <v>0</v>
      </c>
      <c r="X29" s="44"/>
      <c r="Y29" s="44"/>
      <c r="Z29" s="45"/>
      <c r="AA29" s="44"/>
      <c r="AB29" s="44"/>
      <c r="AC29" s="53" t="s">
        <v>117</v>
      </c>
      <c r="AD29" s="1"/>
    </row>
    <row r="30" spans="1:30" x14ac:dyDescent="0.2">
      <c r="A30" s="1"/>
      <c r="B30" s="1"/>
      <c r="C30" s="1"/>
      <c r="D30" s="1"/>
      <c r="E30" s="1"/>
      <c r="F30" s="1"/>
      <c r="G30" s="5"/>
      <c r="H30" s="24" t="s">
        <v>136</v>
      </c>
      <c r="I30" s="24" t="s">
        <v>16</v>
      </c>
      <c r="J30" s="23">
        <v>0</v>
      </c>
      <c r="K30" s="25">
        <v>22</v>
      </c>
      <c r="L30" s="25">
        <f t="shared" ca="1" si="0"/>
        <v>0</v>
      </c>
      <c r="M30" s="25"/>
      <c r="N30" s="35">
        <f t="shared" ca="1" si="1"/>
        <v>0</v>
      </c>
      <c r="O30" s="26" t="s">
        <v>117</v>
      </c>
      <c r="P30" s="1"/>
      <c r="Q30" s="5"/>
      <c r="R30" s="41">
        <v>10092</v>
      </c>
      <c r="S30" s="41">
        <v>3</v>
      </c>
      <c r="T30" s="39" t="s">
        <v>388</v>
      </c>
      <c r="U30" s="40">
        <v>31.11</v>
      </c>
      <c r="V30" s="40">
        <v>31.11</v>
      </c>
      <c r="W30" s="40">
        <v>0</v>
      </c>
      <c r="X30" s="44"/>
      <c r="Y30" s="44"/>
      <c r="Z30" s="45"/>
      <c r="AA30" s="44"/>
      <c r="AB30" s="44"/>
      <c r="AC30" s="53" t="s">
        <v>117</v>
      </c>
      <c r="AD30" s="1"/>
    </row>
    <row r="31" spans="1:30" x14ac:dyDescent="0.2">
      <c r="A31" s="1"/>
      <c r="B31" s="1"/>
      <c r="C31" s="1"/>
      <c r="D31" s="1"/>
      <c r="E31" s="1"/>
      <c r="F31" s="1"/>
      <c r="G31" s="5"/>
      <c r="H31" s="24" t="s">
        <v>137</v>
      </c>
      <c r="I31" s="24" t="s">
        <v>16</v>
      </c>
      <c r="J31" s="23">
        <v>0</v>
      </c>
      <c r="K31" s="25">
        <v>37.729999999999997</v>
      </c>
      <c r="L31" s="25">
        <f t="shared" ca="1" si="0"/>
        <v>0</v>
      </c>
      <c r="M31" s="25"/>
      <c r="N31" s="35">
        <f t="shared" ca="1" si="1"/>
        <v>0</v>
      </c>
      <c r="O31" s="26" t="s">
        <v>117</v>
      </c>
      <c r="P31" s="1"/>
      <c r="Q31" s="5"/>
      <c r="R31" s="41">
        <v>10096</v>
      </c>
      <c r="S31" s="41">
        <v>3</v>
      </c>
      <c r="T31" s="39" t="s">
        <v>388</v>
      </c>
      <c r="U31" s="40">
        <v>31.68</v>
      </c>
      <c r="V31" s="40">
        <v>31.68</v>
      </c>
      <c r="W31" s="40">
        <v>0</v>
      </c>
      <c r="X31" s="44"/>
      <c r="Y31" s="44"/>
      <c r="Z31" s="45"/>
      <c r="AA31" s="44"/>
      <c r="AB31" s="44"/>
      <c r="AC31" s="53" t="s">
        <v>117</v>
      </c>
      <c r="AD31" s="1"/>
    </row>
    <row r="32" spans="1:30" x14ac:dyDescent="0.2">
      <c r="A32" s="1"/>
      <c r="B32" s="1"/>
      <c r="C32" s="1"/>
      <c r="D32" s="1"/>
      <c r="E32" s="1"/>
      <c r="F32" s="1"/>
      <c r="G32" s="5"/>
      <c r="H32" s="24" t="s">
        <v>138</v>
      </c>
      <c r="I32" s="24" t="s">
        <v>16</v>
      </c>
      <c r="J32" s="23">
        <v>0</v>
      </c>
      <c r="K32" s="25">
        <v>299.62</v>
      </c>
      <c r="L32" s="25">
        <f t="shared" ca="1" si="0"/>
        <v>0</v>
      </c>
      <c r="M32" s="25"/>
      <c r="N32" s="35">
        <f t="shared" ca="1" si="1"/>
        <v>0</v>
      </c>
      <c r="O32" s="26" t="s">
        <v>117</v>
      </c>
      <c r="P32" s="1"/>
      <c r="Q32" s="5"/>
      <c r="R32" s="41">
        <v>10107</v>
      </c>
      <c r="S32" s="41">
        <v>1</v>
      </c>
      <c r="T32" s="39" t="s">
        <v>388</v>
      </c>
      <c r="U32" s="40">
        <v>6.06</v>
      </c>
      <c r="V32" s="40">
        <v>6.06</v>
      </c>
      <c r="W32" s="40">
        <v>0</v>
      </c>
      <c r="X32" s="44"/>
      <c r="Y32" s="44"/>
      <c r="Z32" s="45"/>
      <c r="AA32" s="44"/>
      <c r="AB32" s="44"/>
      <c r="AC32" s="53" t="s">
        <v>117</v>
      </c>
      <c r="AD32" s="1"/>
    </row>
    <row r="33" spans="1:30" x14ac:dyDescent="0.2">
      <c r="A33" s="1"/>
      <c r="B33" s="1"/>
      <c r="C33" s="1"/>
      <c r="D33" s="1"/>
      <c r="E33" s="1"/>
      <c r="F33" s="1"/>
      <c r="G33" s="5"/>
      <c r="H33" s="24" t="s">
        <v>139</v>
      </c>
      <c r="I33" s="24" t="s">
        <v>16</v>
      </c>
      <c r="J33" s="23">
        <v>0</v>
      </c>
      <c r="K33" s="25">
        <v>1065.9000000000001</v>
      </c>
      <c r="L33" s="25">
        <f t="shared" ca="1" si="0"/>
        <v>0</v>
      </c>
      <c r="M33" s="25"/>
      <c r="N33" s="35">
        <f t="shared" ca="1" si="1"/>
        <v>0</v>
      </c>
      <c r="O33" s="26" t="s">
        <v>117</v>
      </c>
      <c r="P33" s="1"/>
      <c r="Q33" s="5"/>
      <c r="R33" s="41">
        <v>10108</v>
      </c>
      <c r="S33" s="41">
        <v>3</v>
      </c>
      <c r="T33" s="39" t="s">
        <v>388</v>
      </c>
      <c r="U33" s="40">
        <v>70.78</v>
      </c>
      <c r="V33" s="40">
        <v>70.78</v>
      </c>
      <c r="W33" s="40">
        <v>0</v>
      </c>
      <c r="X33" s="44"/>
      <c r="Y33" s="44"/>
      <c r="Z33" s="45"/>
      <c r="AA33" s="44"/>
      <c r="AB33" s="44"/>
      <c r="AC33" s="53" t="s">
        <v>117</v>
      </c>
      <c r="AD33" s="1"/>
    </row>
    <row r="34" spans="1:30" x14ac:dyDescent="0.2">
      <c r="A34" s="1"/>
      <c r="B34" s="1"/>
      <c r="C34" s="1"/>
      <c r="D34" s="1"/>
      <c r="E34" s="1"/>
      <c r="F34" s="1"/>
      <c r="G34" s="5"/>
      <c r="H34" s="24" t="s">
        <v>140</v>
      </c>
      <c r="I34" s="24" t="s">
        <v>16</v>
      </c>
      <c r="J34" s="23">
        <v>0</v>
      </c>
      <c r="K34" s="25">
        <v>332.11</v>
      </c>
      <c r="L34" s="25">
        <f t="shared" ca="1" si="0"/>
        <v>0</v>
      </c>
      <c r="M34" s="25"/>
      <c r="N34" s="35">
        <f t="shared" ca="1" si="1"/>
        <v>0</v>
      </c>
      <c r="O34" s="26" t="s">
        <v>117</v>
      </c>
      <c r="P34" s="1"/>
      <c r="Q34" s="5"/>
      <c r="R34" s="41">
        <v>10109</v>
      </c>
      <c r="S34" s="41">
        <v>1</v>
      </c>
      <c r="T34" s="39" t="s">
        <v>388</v>
      </c>
      <c r="U34" s="40">
        <v>47.77</v>
      </c>
      <c r="V34" s="40">
        <v>47.77</v>
      </c>
      <c r="W34" s="40">
        <v>0</v>
      </c>
      <c r="X34" s="44"/>
      <c r="Y34" s="44"/>
      <c r="Z34" s="45"/>
      <c r="AA34" s="44"/>
      <c r="AB34" s="44"/>
      <c r="AC34" s="53" t="s">
        <v>117</v>
      </c>
      <c r="AD34" s="1"/>
    </row>
    <row r="35" spans="1:30" x14ac:dyDescent="0.2">
      <c r="A35" s="1"/>
      <c r="B35" s="1"/>
      <c r="C35" s="1"/>
      <c r="D35" s="1"/>
      <c r="E35" s="1"/>
      <c r="F35" s="1"/>
      <c r="G35" s="5"/>
      <c r="H35" s="24" t="s">
        <v>141</v>
      </c>
      <c r="I35" s="24" t="s">
        <v>16</v>
      </c>
      <c r="J35" s="23">
        <v>0</v>
      </c>
      <c r="K35" s="25">
        <v>4</v>
      </c>
      <c r="L35" s="25">
        <f t="shared" ca="1" si="0"/>
        <v>0</v>
      </c>
      <c r="M35" s="25"/>
      <c r="N35" s="35">
        <f t="shared" ca="1" si="1"/>
        <v>0</v>
      </c>
      <c r="O35" s="26" t="s">
        <v>117</v>
      </c>
      <c r="P35" s="1"/>
      <c r="Q35" s="5"/>
      <c r="R35" s="41">
        <v>10110</v>
      </c>
      <c r="S35" s="41">
        <v>1</v>
      </c>
      <c r="T35" s="39" t="s">
        <v>388</v>
      </c>
      <c r="U35" s="40">
        <v>21</v>
      </c>
      <c r="V35" s="40">
        <v>21</v>
      </c>
      <c r="W35" s="40">
        <v>0</v>
      </c>
      <c r="X35" s="44"/>
      <c r="Y35" s="44"/>
      <c r="Z35" s="45"/>
      <c r="AA35" s="44"/>
      <c r="AB35" s="44"/>
      <c r="AC35" s="53" t="s">
        <v>117</v>
      </c>
      <c r="AD35" s="1"/>
    </row>
    <row r="36" spans="1:30" x14ac:dyDescent="0.2">
      <c r="A36" s="1"/>
      <c r="B36" s="1"/>
      <c r="C36" s="1"/>
      <c r="D36" s="1"/>
      <c r="E36" s="1"/>
      <c r="F36" s="1"/>
      <c r="G36" s="5"/>
      <c r="H36" s="24" t="s">
        <v>142</v>
      </c>
      <c r="I36" s="24" t="s">
        <v>16</v>
      </c>
      <c r="J36" s="23">
        <v>0</v>
      </c>
      <c r="K36" s="25">
        <v>197.47</v>
      </c>
      <c r="L36" s="25">
        <f t="shared" ca="1" si="0"/>
        <v>0</v>
      </c>
      <c r="M36" s="25"/>
      <c r="N36" s="35">
        <f t="shared" ca="1" si="1"/>
        <v>0</v>
      </c>
      <c r="O36" s="26" t="s">
        <v>117</v>
      </c>
      <c r="P36" s="1"/>
      <c r="Q36" s="5"/>
      <c r="R36" s="41">
        <v>10114</v>
      </c>
      <c r="S36" s="41">
        <v>3</v>
      </c>
      <c r="T36" s="39" t="s">
        <v>388</v>
      </c>
      <c r="U36" s="40">
        <v>30.1</v>
      </c>
      <c r="V36" s="40">
        <v>30.1</v>
      </c>
      <c r="W36" s="40">
        <v>0</v>
      </c>
      <c r="X36" s="44"/>
      <c r="Y36" s="44"/>
      <c r="Z36" s="45"/>
      <c r="AA36" s="44"/>
      <c r="AB36" s="44"/>
      <c r="AC36" s="53" t="s">
        <v>117</v>
      </c>
      <c r="AD36" s="1"/>
    </row>
    <row r="37" spans="1:30" x14ac:dyDescent="0.2">
      <c r="A37" s="1"/>
      <c r="B37" s="1"/>
      <c r="C37" s="1"/>
      <c r="D37" s="1"/>
      <c r="E37" s="1"/>
      <c r="F37" s="1"/>
      <c r="G37" s="5"/>
      <c r="H37" s="24" t="s">
        <v>143</v>
      </c>
      <c r="I37" s="24" t="s">
        <v>16</v>
      </c>
      <c r="J37" s="23">
        <v>0</v>
      </c>
      <c r="K37" s="25">
        <v>906.54</v>
      </c>
      <c r="L37" s="25">
        <f t="shared" ca="1" si="0"/>
        <v>0</v>
      </c>
      <c r="M37" s="25"/>
      <c r="N37" s="35">
        <f t="shared" ca="1" si="1"/>
        <v>0</v>
      </c>
      <c r="O37" s="26" t="s">
        <v>117</v>
      </c>
      <c r="P37" s="1"/>
      <c r="Q37" s="5"/>
      <c r="R37" s="41">
        <v>10115</v>
      </c>
      <c r="S37" s="41">
        <v>1</v>
      </c>
      <c r="T37" s="39" t="s">
        <v>388</v>
      </c>
      <c r="U37" s="40">
        <v>11.66</v>
      </c>
      <c r="V37" s="40">
        <v>11.66</v>
      </c>
      <c r="W37" s="40">
        <v>0</v>
      </c>
      <c r="X37" s="44"/>
      <c r="Y37" s="44"/>
      <c r="Z37" s="45"/>
      <c r="AA37" s="44"/>
      <c r="AB37" s="44"/>
      <c r="AC37" s="53" t="s">
        <v>117</v>
      </c>
      <c r="AD37" s="1"/>
    </row>
    <row r="38" spans="1:30" x14ac:dyDescent="0.2">
      <c r="A38" s="1"/>
      <c r="B38" s="1"/>
      <c r="C38" s="1"/>
      <c r="D38" s="1"/>
      <c r="E38" s="1"/>
      <c r="F38" s="1"/>
      <c r="G38" s="5"/>
      <c r="H38" s="24" t="s">
        <v>144</v>
      </c>
      <c r="I38" s="24" t="s">
        <v>16</v>
      </c>
      <c r="J38" s="23">
        <v>0</v>
      </c>
      <c r="K38" s="25">
        <v>71034.36</v>
      </c>
      <c r="L38" s="25">
        <f t="shared" ca="1" si="0"/>
        <v>0</v>
      </c>
      <c r="M38" s="25"/>
      <c r="N38" s="35">
        <f t="shared" ca="1" si="1"/>
        <v>0</v>
      </c>
      <c r="O38" s="26" t="s">
        <v>117</v>
      </c>
      <c r="P38" s="1"/>
      <c r="Q38" s="5"/>
      <c r="R38" s="41">
        <v>10121</v>
      </c>
      <c r="S38" s="41">
        <v>3</v>
      </c>
      <c r="T38" s="39" t="s">
        <v>388</v>
      </c>
      <c r="U38" s="40">
        <v>33</v>
      </c>
      <c r="V38" s="40">
        <v>33</v>
      </c>
      <c r="W38" s="40">
        <v>0</v>
      </c>
      <c r="X38" s="44"/>
      <c r="Y38" s="44"/>
      <c r="Z38" s="45"/>
      <c r="AA38" s="44"/>
      <c r="AB38" s="44"/>
      <c r="AC38" s="53" t="s">
        <v>117</v>
      </c>
      <c r="AD38" s="1"/>
    </row>
    <row r="39" spans="1:30" x14ac:dyDescent="0.2">
      <c r="A39" s="1"/>
      <c r="B39" s="1"/>
      <c r="C39" s="1"/>
      <c r="D39" s="1"/>
      <c r="E39" s="1"/>
      <c r="F39" s="1"/>
      <c r="G39" s="5"/>
      <c r="H39" s="24" t="s">
        <v>145</v>
      </c>
      <c r="I39" s="24" t="s">
        <v>16</v>
      </c>
      <c r="J39" s="23">
        <v>0</v>
      </c>
      <c r="K39" s="25">
        <v>183347.42</v>
      </c>
      <c r="L39" s="25">
        <f t="shared" ca="1" si="0"/>
        <v>0</v>
      </c>
      <c r="M39" s="25"/>
      <c r="N39" s="35">
        <f t="shared" ca="1" si="1"/>
        <v>0</v>
      </c>
      <c r="O39" s="26" t="s">
        <v>117</v>
      </c>
      <c r="P39" s="1"/>
      <c r="Q39" s="5"/>
      <c r="R39" s="41">
        <v>54766</v>
      </c>
      <c r="S39" s="41">
        <v>3</v>
      </c>
      <c r="T39" s="39" t="s">
        <v>388</v>
      </c>
      <c r="U39" s="40">
        <v>1960</v>
      </c>
      <c r="V39" s="40">
        <v>1960</v>
      </c>
      <c r="W39" s="40">
        <v>0</v>
      </c>
      <c r="X39" s="44"/>
      <c r="Y39" s="44"/>
      <c r="Z39" s="45"/>
      <c r="AA39" s="44"/>
      <c r="AB39" s="44"/>
      <c r="AC39" s="53" t="s">
        <v>117</v>
      </c>
      <c r="AD39" s="1"/>
    </row>
    <row r="40" spans="1:30" x14ac:dyDescent="0.2">
      <c r="A40" s="1"/>
      <c r="B40" s="1"/>
      <c r="C40" s="1"/>
      <c r="D40" s="1"/>
      <c r="E40" s="1"/>
      <c r="F40" s="1"/>
      <c r="G40" s="5"/>
      <c r="H40" s="24" t="s">
        <v>146</v>
      </c>
      <c r="I40" s="24" t="s">
        <v>16</v>
      </c>
      <c r="J40" s="23">
        <v>0</v>
      </c>
      <c r="K40" s="25">
        <v>6400</v>
      </c>
      <c r="L40" s="25">
        <f t="shared" ca="1" si="0"/>
        <v>0</v>
      </c>
      <c r="M40" s="25"/>
      <c r="N40" s="35">
        <f t="shared" ca="1" si="1"/>
        <v>0</v>
      </c>
      <c r="O40" s="26" t="s">
        <v>117</v>
      </c>
      <c r="P40" s="1"/>
      <c r="Q40" s="5"/>
      <c r="R40" s="41">
        <v>54767</v>
      </c>
      <c r="S40" s="41">
        <v>1</v>
      </c>
      <c r="T40" s="39" t="s">
        <v>388</v>
      </c>
      <c r="U40" s="40">
        <v>1710</v>
      </c>
      <c r="V40" s="40">
        <v>1710</v>
      </c>
      <c r="W40" s="40">
        <v>0</v>
      </c>
      <c r="X40" s="44"/>
      <c r="Y40" s="44"/>
      <c r="Z40" s="45"/>
      <c r="AA40" s="44"/>
      <c r="AB40" s="44"/>
      <c r="AC40" s="53" t="s">
        <v>117</v>
      </c>
      <c r="AD40" s="1"/>
    </row>
    <row r="41" spans="1:30" x14ac:dyDescent="0.2">
      <c r="A41" s="1"/>
      <c r="B41" s="1"/>
      <c r="C41" s="1"/>
      <c r="D41" s="1"/>
      <c r="E41" s="1"/>
      <c r="F41" s="1"/>
      <c r="G41" s="5"/>
      <c r="H41" s="24" t="s">
        <v>234</v>
      </c>
      <c r="I41" s="24" t="s">
        <v>16</v>
      </c>
      <c r="J41" s="23">
        <v>0</v>
      </c>
      <c r="K41" s="25">
        <v>-26957.08</v>
      </c>
      <c r="L41" s="25">
        <f t="shared" ca="1" si="0"/>
        <v>0</v>
      </c>
      <c r="M41" s="25"/>
      <c r="N41" s="35">
        <f t="shared" ca="1" si="1"/>
        <v>0</v>
      </c>
      <c r="O41" s="26" t="s">
        <v>117</v>
      </c>
      <c r="P41" s="1"/>
      <c r="Q41" s="5"/>
      <c r="R41" s="41">
        <v>54813</v>
      </c>
      <c r="S41" s="41">
        <v>3</v>
      </c>
      <c r="T41" s="39" t="s">
        <v>388</v>
      </c>
      <c r="U41" s="40">
        <v>38.729999999999997</v>
      </c>
      <c r="V41" s="40">
        <v>38.729999999999997</v>
      </c>
      <c r="W41" s="40">
        <v>0</v>
      </c>
      <c r="X41" s="44"/>
      <c r="Y41" s="44"/>
      <c r="Z41" s="45"/>
      <c r="AA41" s="44"/>
      <c r="AB41" s="44"/>
      <c r="AC41" s="53" t="s">
        <v>117</v>
      </c>
      <c r="AD41" s="1"/>
    </row>
    <row r="42" spans="1:30" x14ac:dyDescent="0.2">
      <c r="A42" s="1"/>
      <c r="B42" s="1"/>
      <c r="C42" s="1"/>
      <c r="D42" s="1"/>
      <c r="E42" s="1"/>
      <c r="F42" s="1"/>
      <c r="G42" s="5"/>
      <c r="H42" s="24" t="s">
        <v>445</v>
      </c>
      <c r="I42" s="24" t="s">
        <v>16</v>
      </c>
      <c r="J42" s="23">
        <v>0</v>
      </c>
      <c r="K42" s="25">
        <v>-1405.26</v>
      </c>
      <c r="L42" s="25">
        <f t="shared" ca="1" si="0"/>
        <v>0</v>
      </c>
      <c r="M42" s="25"/>
      <c r="N42" s="35">
        <f t="shared" ca="1" si="1"/>
        <v>0</v>
      </c>
      <c r="O42" s="26" t="s">
        <v>117</v>
      </c>
      <c r="P42" s="1"/>
      <c r="Q42" s="5"/>
      <c r="R42" s="41">
        <v>54820</v>
      </c>
      <c r="S42" s="41">
        <v>3</v>
      </c>
      <c r="T42" s="39" t="s">
        <v>388</v>
      </c>
      <c r="U42" s="40">
        <v>126</v>
      </c>
      <c r="V42" s="40">
        <v>126</v>
      </c>
      <c r="W42" s="40">
        <v>0</v>
      </c>
      <c r="X42" s="44"/>
      <c r="Y42" s="44"/>
      <c r="Z42" s="45"/>
      <c r="AA42" s="44"/>
      <c r="AB42" s="44"/>
      <c r="AC42" s="53" t="s">
        <v>117</v>
      </c>
      <c r="AD42" s="1"/>
    </row>
    <row r="43" spans="1:30" x14ac:dyDescent="0.2">
      <c r="A43" s="1"/>
      <c r="B43" s="1"/>
      <c r="C43" s="1"/>
      <c r="D43" s="1"/>
      <c r="E43" s="1"/>
      <c r="F43" s="1"/>
      <c r="G43" s="5"/>
      <c r="H43" s="24" t="s">
        <v>147</v>
      </c>
      <c r="I43" s="24" t="s">
        <v>16</v>
      </c>
      <c r="J43" s="23">
        <v>0</v>
      </c>
      <c r="K43" s="25">
        <v>158126.96</v>
      </c>
      <c r="L43" s="25">
        <f t="shared" ca="1" si="0"/>
        <v>0</v>
      </c>
      <c r="M43" s="25"/>
      <c r="N43" s="35">
        <f t="shared" ca="1" si="1"/>
        <v>0</v>
      </c>
      <c r="O43" s="26" t="s">
        <v>117</v>
      </c>
      <c r="P43" s="1"/>
      <c r="Q43" s="5"/>
      <c r="R43" s="41">
        <v>54824</v>
      </c>
      <c r="S43" s="41">
        <v>2</v>
      </c>
      <c r="T43" s="39" t="s">
        <v>388</v>
      </c>
      <c r="U43" s="40">
        <v>310</v>
      </c>
      <c r="V43" s="40">
        <v>310</v>
      </c>
      <c r="W43" s="40">
        <v>0</v>
      </c>
      <c r="X43" s="44"/>
      <c r="Y43" s="44"/>
      <c r="Z43" s="45"/>
      <c r="AA43" s="44"/>
      <c r="AB43" s="44"/>
      <c r="AC43" s="53" t="s">
        <v>117</v>
      </c>
      <c r="AD43" s="1"/>
    </row>
    <row r="44" spans="1:30" x14ac:dyDescent="0.2">
      <c r="A44" s="1"/>
      <c r="B44" s="1"/>
      <c r="C44" s="1"/>
      <c r="D44" s="1"/>
      <c r="E44" s="1"/>
      <c r="F44" s="1"/>
      <c r="G44" s="5"/>
      <c r="H44" s="24" t="s">
        <v>446</v>
      </c>
      <c r="I44" s="24" t="s">
        <v>16</v>
      </c>
      <c r="J44" s="23">
        <v>0</v>
      </c>
      <c r="K44" s="25">
        <v>-158126.96</v>
      </c>
      <c r="L44" s="25">
        <f t="shared" ca="1" si="0"/>
        <v>0</v>
      </c>
      <c r="M44" s="25"/>
      <c r="N44" s="35">
        <f t="shared" ca="1" si="1"/>
        <v>0</v>
      </c>
      <c r="O44" s="26" t="s">
        <v>117</v>
      </c>
      <c r="P44" s="1"/>
      <c r="Q44" s="5"/>
      <c r="R44" s="41">
        <v>54826</v>
      </c>
      <c r="S44" s="41">
        <v>2</v>
      </c>
      <c r="T44" s="39" t="s">
        <v>388</v>
      </c>
      <c r="U44" s="40">
        <v>310</v>
      </c>
      <c r="V44" s="40">
        <v>310</v>
      </c>
      <c r="W44" s="40">
        <v>0</v>
      </c>
      <c r="X44" s="44"/>
      <c r="Y44" s="44"/>
      <c r="Z44" s="45"/>
      <c r="AA44" s="44"/>
      <c r="AB44" s="44"/>
      <c r="AC44" s="53" t="s">
        <v>117</v>
      </c>
      <c r="AD44" s="1"/>
    </row>
    <row r="45" spans="1:30" x14ac:dyDescent="0.2">
      <c r="A45" s="1"/>
      <c r="B45" s="1"/>
      <c r="C45" s="1"/>
      <c r="D45" s="1"/>
      <c r="E45" s="1"/>
      <c r="F45" s="1"/>
      <c r="G45" s="5"/>
      <c r="H45" s="24" t="s">
        <v>447</v>
      </c>
      <c r="I45" s="24" t="s">
        <v>16</v>
      </c>
      <c r="J45" s="23">
        <v>0</v>
      </c>
      <c r="K45" s="25">
        <v>-3916.69</v>
      </c>
      <c r="L45" s="25">
        <f t="shared" ca="1" si="0"/>
        <v>0</v>
      </c>
      <c r="M45" s="25"/>
      <c r="N45" s="35">
        <f t="shared" ca="1" si="1"/>
        <v>0</v>
      </c>
      <c r="O45" s="26" t="s">
        <v>117</v>
      </c>
      <c r="P45" s="1"/>
      <c r="Q45" s="5"/>
      <c r="R45" s="41">
        <v>54828</v>
      </c>
      <c r="S45" s="41">
        <v>1</v>
      </c>
      <c r="T45" s="39" t="s">
        <v>388</v>
      </c>
      <c r="U45" s="40">
        <v>8.4600000000000009</v>
      </c>
      <c r="V45" s="40">
        <v>8.4600000000000009</v>
      </c>
      <c r="W45" s="40">
        <v>0</v>
      </c>
      <c r="X45" s="44"/>
      <c r="Y45" s="44"/>
      <c r="Z45" s="45"/>
      <c r="AA45" s="44"/>
      <c r="AB45" s="44"/>
      <c r="AC45" s="53" t="s">
        <v>117</v>
      </c>
      <c r="AD45" s="1"/>
    </row>
    <row r="46" spans="1:30" x14ac:dyDescent="0.2">
      <c r="A46" s="1"/>
      <c r="B46" s="1"/>
      <c r="C46" s="1"/>
      <c r="D46" s="1"/>
      <c r="E46" s="1"/>
      <c r="F46" s="1"/>
      <c r="G46" s="5"/>
      <c r="H46" s="24" t="s">
        <v>148</v>
      </c>
      <c r="I46" s="24" t="s">
        <v>16</v>
      </c>
      <c r="J46" s="23">
        <v>0</v>
      </c>
      <c r="K46" s="25">
        <v>63.48</v>
      </c>
      <c r="L46" s="25">
        <f t="shared" ca="1" si="0"/>
        <v>0</v>
      </c>
      <c r="M46" s="25"/>
      <c r="N46" s="35">
        <f t="shared" ca="1" si="1"/>
        <v>0</v>
      </c>
      <c r="O46" s="26" t="s">
        <v>117</v>
      </c>
      <c r="P46" s="1"/>
      <c r="Q46" s="5"/>
      <c r="R46" s="41">
        <v>54831</v>
      </c>
      <c r="S46" s="41">
        <v>2</v>
      </c>
      <c r="T46" s="39" t="s">
        <v>388</v>
      </c>
      <c r="U46" s="40">
        <v>2735.13</v>
      </c>
      <c r="V46" s="40">
        <v>2735.13</v>
      </c>
      <c r="W46" s="40">
        <v>0</v>
      </c>
      <c r="X46" s="44"/>
      <c r="Y46" s="44"/>
      <c r="Z46" s="45"/>
      <c r="AA46" s="44"/>
      <c r="AB46" s="44"/>
      <c r="AC46" s="53" t="s">
        <v>117</v>
      </c>
      <c r="AD46" s="1"/>
    </row>
    <row r="47" spans="1:30" x14ac:dyDescent="0.2">
      <c r="A47" s="1"/>
      <c r="B47" s="1"/>
      <c r="C47" s="1"/>
      <c r="D47" s="1"/>
      <c r="E47" s="1"/>
      <c r="F47" s="1"/>
      <c r="G47" s="5"/>
      <c r="H47" s="24" t="s">
        <v>149</v>
      </c>
      <c r="I47" s="24" t="s">
        <v>16</v>
      </c>
      <c r="J47" s="23">
        <v>0</v>
      </c>
      <c r="K47" s="25">
        <v>79.349999999999994</v>
      </c>
      <c r="L47" s="25">
        <f t="shared" ca="1" si="0"/>
        <v>0</v>
      </c>
      <c r="M47" s="25"/>
      <c r="N47" s="35">
        <f t="shared" ca="1" si="1"/>
        <v>0</v>
      </c>
      <c r="O47" s="26" t="s">
        <v>117</v>
      </c>
      <c r="P47" s="1"/>
      <c r="Q47" s="5"/>
      <c r="R47" s="41">
        <v>54832</v>
      </c>
      <c r="S47" s="41">
        <v>2</v>
      </c>
      <c r="T47" s="39" t="s">
        <v>388</v>
      </c>
      <c r="U47" s="40">
        <v>1000</v>
      </c>
      <c r="V47" s="40">
        <v>1000</v>
      </c>
      <c r="W47" s="40">
        <v>0</v>
      </c>
      <c r="X47" s="44"/>
      <c r="Y47" s="44"/>
      <c r="Z47" s="45"/>
      <c r="AA47" s="44"/>
      <c r="AB47" s="44"/>
      <c r="AC47" s="53" t="s">
        <v>117</v>
      </c>
      <c r="AD47" s="1"/>
    </row>
    <row r="48" spans="1:30" x14ac:dyDescent="0.2">
      <c r="A48" s="1"/>
      <c r="B48" s="1"/>
      <c r="C48" s="1"/>
      <c r="D48" s="1"/>
      <c r="E48" s="1"/>
      <c r="F48" s="1"/>
      <c r="G48" s="5"/>
      <c r="H48" s="24" t="s">
        <v>150</v>
      </c>
      <c r="I48" s="24" t="s">
        <v>16</v>
      </c>
      <c r="J48" s="23">
        <v>0</v>
      </c>
      <c r="K48" s="25">
        <v>263.74</v>
      </c>
      <c r="L48" s="25">
        <f t="shared" ca="1" si="0"/>
        <v>0</v>
      </c>
      <c r="M48" s="25"/>
      <c r="N48" s="35">
        <f t="shared" ca="1" si="1"/>
        <v>0</v>
      </c>
      <c r="O48" s="26" t="s">
        <v>117</v>
      </c>
      <c r="P48" s="1"/>
      <c r="Q48" s="5"/>
      <c r="R48" s="41">
        <v>54833</v>
      </c>
      <c r="S48" s="41">
        <v>2</v>
      </c>
      <c r="T48" s="39" t="s">
        <v>388</v>
      </c>
      <c r="U48" s="40">
        <v>1200</v>
      </c>
      <c r="V48" s="40">
        <v>1200</v>
      </c>
      <c r="W48" s="40">
        <v>0</v>
      </c>
      <c r="X48" s="44"/>
      <c r="Y48" s="44"/>
      <c r="Z48" s="45"/>
      <c r="AA48" s="44"/>
      <c r="AB48" s="44"/>
      <c r="AC48" s="53" t="s">
        <v>117</v>
      </c>
      <c r="AD48" s="1"/>
    </row>
    <row r="49" spans="1:30" x14ac:dyDescent="0.2">
      <c r="A49" s="1"/>
      <c r="B49" s="1"/>
      <c r="C49" s="1"/>
      <c r="D49" s="1"/>
      <c r="E49" s="1"/>
      <c r="F49" s="1"/>
      <c r="G49" s="5"/>
      <c r="H49" s="24" t="s">
        <v>151</v>
      </c>
      <c r="I49" s="24" t="s">
        <v>16</v>
      </c>
      <c r="J49" s="23">
        <v>0</v>
      </c>
      <c r="K49" s="25">
        <v>723.73</v>
      </c>
      <c r="L49" s="25">
        <f t="shared" ca="1" si="0"/>
        <v>0</v>
      </c>
      <c r="M49" s="25"/>
      <c r="N49" s="35">
        <f t="shared" ca="1" si="1"/>
        <v>0</v>
      </c>
      <c r="O49" s="26" t="s">
        <v>117</v>
      </c>
      <c r="P49" s="1"/>
      <c r="Q49" s="5"/>
      <c r="R49" s="41">
        <v>54834</v>
      </c>
      <c r="S49" s="41">
        <v>2</v>
      </c>
      <c r="T49" s="39" t="s">
        <v>388</v>
      </c>
      <c r="U49" s="40">
        <v>21.7</v>
      </c>
      <c r="V49" s="40">
        <v>21.7</v>
      </c>
      <c r="W49" s="40">
        <v>0</v>
      </c>
      <c r="X49" s="44"/>
      <c r="Y49" s="44"/>
      <c r="Z49" s="45"/>
      <c r="AA49" s="44"/>
      <c r="AB49" s="44"/>
      <c r="AC49" s="53" t="s">
        <v>117</v>
      </c>
      <c r="AD49" s="1"/>
    </row>
    <row r="50" spans="1:30" x14ac:dyDescent="0.2">
      <c r="A50" s="1"/>
      <c r="B50" s="1"/>
      <c r="C50" s="1"/>
      <c r="D50" s="1"/>
      <c r="E50" s="1"/>
      <c r="F50" s="1"/>
      <c r="G50" s="5"/>
      <c r="H50" s="24" t="s">
        <v>152</v>
      </c>
      <c r="I50" s="24" t="s">
        <v>16</v>
      </c>
      <c r="J50" s="23">
        <v>0</v>
      </c>
      <c r="K50" s="25">
        <v>225.5</v>
      </c>
      <c r="L50" s="25">
        <f t="shared" ca="1" si="0"/>
        <v>0</v>
      </c>
      <c r="M50" s="25"/>
      <c r="N50" s="35">
        <f t="shared" ca="1" si="1"/>
        <v>0</v>
      </c>
      <c r="O50" s="26" t="s">
        <v>117</v>
      </c>
      <c r="P50" s="1"/>
      <c r="Q50" s="5"/>
      <c r="R50" s="41">
        <v>54841</v>
      </c>
      <c r="S50" s="41">
        <v>3</v>
      </c>
      <c r="T50" s="39" t="s">
        <v>388</v>
      </c>
      <c r="U50" s="40">
        <v>4.8600000000000003</v>
      </c>
      <c r="V50" s="40">
        <v>4.8600000000000003</v>
      </c>
      <c r="W50" s="40">
        <v>0</v>
      </c>
      <c r="X50" s="44"/>
      <c r="Y50" s="44"/>
      <c r="Z50" s="45"/>
      <c r="AA50" s="44"/>
      <c r="AB50" s="44"/>
      <c r="AC50" s="53" t="s">
        <v>117</v>
      </c>
      <c r="AD50" s="1"/>
    </row>
    <row r="51" spans="1:30" x14ac:dyDescent="0.2">
      <c r="A51" s="1"/>
      <c r="B51" s="1"/>
      <c r="C51" s="1"/>
      <c r="D51" s="1"/>
      <c r="E51" s="1"/>
      <c r="F51" s="1"/>
      <c r="G51" s="5"/>
      <c r="H51" s="24" t="s">
        <v>153</v>
      </c>
      <c r="I51" s="24" t="s">
        <v>16</v>
      </c>
      <c r="J51" s="23">
        <v>0</v>
      </c>
      <c r="K51" s="25">
        <v>257.10000000000002</v>
      </c>
      <c r="L51" s="25">
        <f t="shared" ca="1" si="0"/>
        <v>0</v>
      </c>
      <c r="M51" s="25"/>
      <c r="N51" s="35">
        <f t="shared" ca="1" si="1"/>
        <v>0</v>
      </c>
      <c r="O51" s="26" t="s">
        <v>117</v>
      </c>
      <c r="P51" s="1"/>
      <c r="Q51" s="5"/>
      <c r="R51" s="41">
        <v>54843</v>
      </c>
      <c r="S51" s="41">
        <v>3</v>
      </c>
      <c r="T51" s="39" t="s">
        <v>388</v>
      </c>
      <c r="U51" s="40">
        <v>119.96</v>
      </c>
      <c r="V51" s="40">
        <v>119.96</v>
      </c>
      <c r="W51" s="40">
        <v>0</v>
      </c>
      <c r="X51" s="44"/>
      <c r="Y51" s="44"/>
      <c r="Z51" s="45"/>
      <c r="AA51" s="44"/>
      <c r="AB51" s="44"/>
      <c r="AC51" s="53" t="s">
        <v>117</v>
      </c>
      <c r="AD51" s="1"/>
    </row>
    <row r="52" spans="1:30" x14ac:dyDescent="0.2">
      <c r="A52" s="1"/>
      <c r="B52" s="1"/>
      <c r="C52" s="1"/>
      <c r="D52" s="1"/>
      <c r="E52" s="1"/>
      <c r="F52" s="1"/>
      <c r="G52" s="5"/>
      <c r="H52" s="24" t="s">
        <v>154</v>
      </c>
      <c r="I52" s="24" t="s">
        <v>16</v>
      </c>
      <c r="J52" s="23">
        <v>0</v>
      </c>
      <c r="K52" s="25">
        <v>231.1</v>
      </c>
      <c r="L52" s="25">
        <f t="shared" ref="L52:L83" ca="1" si="2">ROUND(J52*K52,2)</f>
        <v>0</v>
      </c>
      <c r="M52" s="25"/>
      <c r="N52" s="35">
        <f t="shared" ca="1" si="1"/>
        <v>0</v>
      </c>
      <c r="O52" s="26" t="s">
        <v>117</v>
      </c>
      <c r="P52" s="1"/>
      <c r="Q52" s="5"/>
      <c r="R52" s="41">
        <v>54845</v>
      </c>
      <c r="S52" s="41">
        <v>3</v>
      </c>
      <c r="T52" s="39" t="s">
        <v>388</v>
      </c>
      <c r="U52" s="40">
        <v>47.8</v>
      </c>
      <c r="V52" s="40">
        <v>47.8</v>
      </c>
      <c r="W52" s="40">
        <v>0</v>
      </c>
      <c r="X52" s="44"/>
      <c r="Y52" s="44"/>
      <c r="Z52" s="45"/>
      <c r="AA52" s="44"/>
      <c r="AB52" s="44"/>
      <c r="AC52" s="53" t="s">
        <v>117</v>
      </c>
      <c r="AD52" s="1"/>
    </row>
    <row r="53" spans="1:30" x14ac:dyDescent="0.2">
      <c r="A53" s="1"/>
      <c r="B53" s="1"/>
      <c r="C53" s="1"/>
      <c r="D53" s="1"/>
      <c r="E53" s="1"/>
      <c r="F53" s="1"/>
      <c r="G53" s="5"/>
      <c r="H53" s="24" t="s">
        <v>155</v>
      </c>
      <c r="I53" s="24" t="s">
        <v>16</v>
      </c>
      <c r="J53" s="23">
        <v>0</v>
      </c>
      <c r="K53" s="25">
        <v>263.10000000000002</v>
      </c>
      <c r="L53" s="25">
        <f t="shared" ca="1" si="2"/>
        <v>0</v>
      </c>
      <c r="M53" s="25"/>
      <c r="N53" s="35">
        <f t="shared" ca="1" si="1"/>
        <v>0</v>
      </c>
      <c r="O53" s="26" t="s">
        <v>117</v>
      </c>
      <c r="P53" s="1"/>
      <c r="Q53" s="5"/>
      <c r="R53" s="41">
        <v>54851</v>
      </c>
      <c r="S53" s="41">
        <v>1</v>
      </c>
      <c r="T53" s="39" t="s">
        <v>388</v>
      </c>
      <c r="U53" s="40">
        <v>160.4</v>
      </c>
      <c r="V53" s="40">
        <v>160.4</v>
      </c>
      <c r="W53" s="40">
        <v>0</v>
      </c>
      <c r="X53" s="44"/>
      <c r="Y53" s="44"/>
      <c r="Z53" s="45"/>
      <c r="AA53" s="44"/>
      <c r="AB53" s="44"/>
      <c r="AC53" s="53" t="s">
        <v>117</v>
      </c>
      <c r="AD53" s="1"/>
    </row>
    <row r="54" spans="1:30" x14ac:dyDescent="0.2">
      <c r="A54" s="1"/>
      <c r="B54" s="1"/>
      <c r="C54" s="1"/>
      <c r="D54" s="1"/>
      <c r="E54" s="1"/>
      <c r="F54" s="1"/>
      <c r="G54" s="5"/>
      <c r="H54" s="24" t="s">
        <v>156</v>
      </c>
      <c r="I54" s="24" t="s">
        <v>16</v>
      </c>
      <c r="J54" s="23">
        <v>0</v>
      </c>
      <c r="K54" s="25">
        <v>724.63</v>
      </c>
      <c r="L54" s="25">
        <f t="shared" ca="1" si="2"/>
        <v>0</v>
      </c>
      <c r="M54" s="25"/>
      <c r="N54" s="35">
        <f t="shared" ca="1" si="1"/>
        <v>0</v>
      </c>
      <c r="O54" s="26" t="s">
        <v>117</v>
      </c>
      <c r="P54" s="1"/>
      <c r="Q54" s="5"/>
      <c r="R54" s="41">
        <v>54851</v>
      </c>
      <c r="S54" s="41">
        <v>4</v>
      </c>
      <c r="T54" s="39" t="s">
        <v>388</v>
      </c>
      <c r="U54" s="40">
        <v>178</v>
      </c>
      <c r="V54" s="40">
        <v>178</v>
      </c>
      <c r="W54" s="40">
        <v>0</v>
      </c>
      <c r="X54" s="44"/>
      <c r="Y54" s="44"/>
      <c r="Z54" s="45"/>
      <c r="AA54" s="44"/>
      <c r="AB54" s="44"/>
      <c r="AC54" s="53" t="s">
        <v>117</v>
      </c>
      <c r="AD54" s="1"/>
    </row>
    <row r="55" spans="1:30" x14ac:dyDescent="0.2">
      <c r="A55" s="1"/>
      <c r="B55" s="1"/>
      <c r="C55" s="1"/>
      <c r="D55" s="1"/>
      <c r="E55" s="1"/>
      <c r="F55" s="1"/>
      <c r="G55" s="5"/>
      <c r="H55" s="24" t="s">
        <v>157</v>
      </c>
      <c r="I55" s="24" t="s">
        <v>16</v>
      </c>
      <c r="J55" s="23">
        <v>0</v>
      </c>
      <c r="K55" s="25">
        <v>3080.43</v>
      </c>
      <c r="L55" s="25">
        <f t="shared" ca="1" si="2"/>
        <v>0</v>
      </c>
      <c r="M55" s="25"/>
      <c r="N55" s="35">
        <f t="shared" ca="1" si="1"/>
        <v>0</v>
      </c>
      <c r="O55" s="26" t="s">
        <v>117</v>
      </c>
      <c r="P55" s="1"/>
      <c r="Q55" s="5"/>
      <c r="R55" s="41">
        <v>54851</v>
      </c>
      <c r="S55" s="41">
        <v>5</v>
      </c>
      <c r="T55" s="39" t="s">
        <v>388</v>
      </c>
      <c r="U55" s="40">
        <v>178</v>
      </c>
      <c r="V55" s="40">
        <v>178</v>
      </c>
      <c r="W55" s="40">
        <v>0</v>
      </c>
      <c r="X55" s="44"/>
      <c r="Y55" s="44"/>
      <c r="Z55" s="45"/>
      <c r="AA55" s="44"/>
      <c r="AB55" s="44"/>
      <c r="AC55" s="53" t="s">
        <v>117</v>
      </c>
      <c r="AD55" s="1"/>
    </row>
    <row r="56" spans="1:30" x14ac:dyDescent="0.2">
      <c r="A56" s="1"/>
      <c r="B56" s="1"/>
      <c r="C56" s="1"/>
      <c r="D56" s="1"/>
      <c r="E56" s="1"/>
      <c r="F56" s="1"/>
      <c r="G56" s="5"/>
      <c r="H56" s="24" t="s">
        <v>158</v>
      </c>
      <c r="I56" s="24" t="s">
        <v>16</v>
      </c>
      <c r="J56" s="23">
        <v>0</v>
      </c>
      <c r="K56" s="25">
        <v>3080.43</v>
      </c>
      <c r="L56" s="25">
        <f t="shared" ca="1" si="2"/>
        <v>0</v>
      </c>
      <c r="M56" s="25"/>
      <c r="N56" s="35">
        <f t="shared" ca="1" si="1"/>
        <v>0</v>
      </c>
      <c r="O56" s="26" t="s">
        <v>117</v>
      </c>
      <c r="P56" s="1"/>
      <c r="Q56" s="5"/>
      <c r="R56" s="41">
        <v>54851</v>
      </c>
      <c r="S56" s="41">
        <v>8</v>
      </c>
      <c r="T56" s="39" t="s">
        <v>388</v>
      </c>
      <c r="U56" s="40">
        <v>142.4</v>
      </c>
      <c r="V56" s="40">
        <v>142.4</v>
      </c>
      <c r="W56" s="40">
        <v>0</v>
      </c>
      <c r="X56" s="44"/>
      <c r="Y56" s="44"/>
      <c r="Z56" s="45"/>
      <c r="AA56" s="44"/>
      <c r="AB56" s="44"/>
      <c r="AC56" s="53" t="s">
        <v>117</v>
      </c>
      <c r="AD56" s="1"/>
    </row>
    <row r="57" spans="1:30" x14ac:dyDescent="0.2">
      <c r="A57" s="1"/>
      <c r="B57" s="1"/>
      <c r="C57" s="1"/>
      <c r="D57" s="1"/>
      <c r="E57" s="1"/>
      <c r="F57" s="1"/>
      <c r="G57" s="5"/>
      <c r="H57" s="24" t="s">
        <v>159</v>
      </c>
      <c r="I57" s="24" t="s">
        <v>16</v>
      </c>
      <c r="J57" s="23">
        <v>0</v>
      </c>
      <c r="K57" s="25">
        <v>64.8</v>
      </c>
      <c r="L57" s="25">
        <f t="shared" ca="1" si="2"/>
        <v>0</v>
      </c>
      <c r="M57" s="25"/>
      <c r="N57" s="35">
        <f t="shared" ca="1" si="1"/>
        <v>0</v>
      </c>
      <c r="O57" s="26" t="s">
        <v>117</v>
      </c>
      <c r="P57" s="1"/>
      <c r="Q57" s="5"/>
      <c r="R57" s="41">
        <v>54851</v>
      </c>
      <c r="S57" s="41">
        <v>9</v>
      </c>
      <c r="T57" s="39" t="s">
        <v>388</v>
      </c>
      <c r="U57" s="40">
        <v>107</v>
      </c>
      <c r="V57" s="40">
        <v>107</v>
      </c>
      <c r="W57" s="40">
        <v>0</v>
      </c>
      <c r="X57" s="44"/>
      <c r="Y57" s="44"/>
      <c r="Z57" s="45"/>
      <c r="AA57" s="44"/>
      <c r="AB57" s="44"/>
      <c r="AC57" s="53" t="s">
        <v>117</v>
      </c>
      <c r="AD57" s="1"/>
    </row>
    <row r="58" spans="1:30" x14ac:dyDescent="0.2">
      <c r="A58" s="1"/>
      <c r="B58" s="1"/>
      <c r="C58" s="1"/>
      <c r="D58" s="1"/>
      <c r="E58" s="1"/>
      <c r="F58" s="1"/>
      <c r="G58" s="5"/>
      <c r="H58" s="24" t="s">
        <v>160</v>
      </c>
      <c r="I58" s="24" t="s">
        <v>16</v>
      </c>
      <c r="J58" s="23">
        <v>0</v>
      </c>
      <c r="K58" s="25">
        <v>64.8</v>
      </c>
      <c r="L58" s="25">
        <f t="shared" ca="1" si="2"/>
        <v>0</v>
      </c>
      <c r="M58" s="25"/>
      <c r="N58" s="35">
        <f t="shared" ca="1" si="1"/>
        <v>0</v>
      </c>
      <c r="O58" s="26" t="s">
        <v>117</v>
      </c>
      <c r="P58" s="1"/>
      <c r="Q58" s="5"/>
      <c r="R58" s="41">
        <v>54851</v>
      </c>
      <c r="S58" s="41">
        <v>21</v>
      </c>
      <c r="T58" s="39" t="s">
        <v>388</v>
      </c>
      <c r="U58" s="40">
        <v>178</v>
      </c>
      <c r="V58" s="40">
        <v>178</v>
      </c>
      <c r="W58" s="40">
        <v>0</v>
      </c>
      <c r="X58" s="44"/>
      <c r="Y58" s="44"/>
      <c r="Z58" s="45"/>
      <c r="AA58" s="44"/>
      <c r="AB58" s="44"/>
      <c r="AC58" s="53" t="s">
        <v>117</v>
      </c>
      <c r="AD58" s="1"/>
    </row>
    <row r="59" spans="1:30" x14ac:dyDescent="0.2">
      <c r="A59" s="1"/>
      <c r="B59" s="1"/>
      <c r="C59" s="1"/>
      <c r="D59" s="1"/>
      <c r="E59" s="1"/>
      <c r="F59" s="1"/>
      <c r="G59" s="5"/>
      <c r="H59" s="24" t="s">
        <v>448</v>
      </c>
      <c r="I59" s="24" t="s">
        <v>16</v>
      </c>
      <c r="J59" s="23">
        <v>0</v>
      </c>
      <c r="K59" s="25">
        <v>671.03</v>
      </c>
      <c r="L59" s="25">
        <f t="shared" ca="1" si="2"/>
        <v>0</v>
      </c>
      <c r="M59" s="25"/>
      <c r="N59" s="35">
        <f t="shared" ca="1" si="1"/>
        <v>0</v>
      </c>
      <c r="O59" s="26" t="s">
        <v>117</v>
      </c>
      <c r="P59" s="1"/>
      <c r="Q59" s="5"/>
      <c r="R59" s="41">
        <v>54851</v>
      </c>
      <c r="S59" s="41">
        <v>22</v>
      </c>
      <c r="T59" s="39" t="s">
        <v>388</v>
      </c>
      <c r="U59" s="40">
        <v>107</v>
      </c>
      <c r="V59" s="40">
        <v>107</v>
      </c>
      <c r="W59" s="40">
        <v>0</v>
      </c>
      <c r="X59" s="44"/>
      <c r="Y59" s="44"/>
      <c r="Z59" s="45"/>
      <c r="AA59" s="44"/>
      <c r="AB59" s="44"/>
      <c r="AC59" s="53" t="s">
        <v>117</v>
      </c>
      <c r="AD59" s="1"/>
    </row>
    <row r="60" spans="1:30" x14ac:dyDescent="0.2">
      <c r="A60" s="1"/>
      <c r="B60" s="1"/>
      <c r="C60" s="1"/>
      <c r="D60" s="1"/>
      <c r="E60" s="1"/>
      <c r="F60" s="1"/>
      <c r="G60" s="5"/>
      <c r="H60" s="24" t="s">
        <v>161</v>
      </c>
      <c r="I60" s="24" t="s">
        <v>16</v>
      </c>
      <c r="J60" s="23">
        <v>0</v>
      </c>
      <c r="K60" s="25">
        <v>202.63</v>
      </c>
      <c r="L60" s="25">
        <f t="shared" ca="1" si="2"/>
        <v>0</v>
      </c>
      <c r="M60" s="25"/>
      <c r="N60" s="35">
        <f t="shared" ca="1" si="1"/>
        <v>0</v>
      </c>
      <c r="O60" s="26" t="s">
        <v>117</v>
      </c>
      <c r="P60" s="1"/>
      <c r="Q60" s="5"/>
      <c r="R60" s="41">
        <v>54851</v>
      </c>
      <c r="S60" s="41">
        <v>25</v>
      </c>
      <c r="T60" s="39" t="s">
        <v>388</v>
      </c>
      <c r="U60" s="40">
        <v>142.4</v>
      </c>
      <c r="V60" s="40">
        <v>142.4</v>
      </c>
      <c r="W60" s="40">
        <v>0</v>
      </c>
      <c r="X60" s="44"/>
      <c r="Y60" s="44"/>
      <c r="Z60" s="45"/>
      <c r="AA60" s="44"/>
      <c r="AB60" s="44"/>
      <c r="AC60" s="53" t="s">
        <v>117</v>
      </c>
      <c r="AD60" s="1"/>
    </row>
    <row r="61" spans="1:30" x14ac:dyDescent="0.2">
      <c r="A61" s="1"/>
      <c r="B61" s="1"/>
      <c r="C61" s="1"/>
      <c r="D61" s="1"/>
      <c r="E61" s="1"/>
      <c r="F61" s="1"/>
      <c r="G61" s="5"/>
      <c r="H61" s="24" t="s">
        <v>162</v>
      </c>
      <c r="I61" s="24" t="s">
        <v>16</v>
      </c>
      <c r="J61" s="23">
        <v>0</v>
      </c>
      <c r="K61" s="25">
        <v>119.11</v>
      </c>
      <c r="L61" s="25">
        <f t="shared" ca="1" si="2"/>
        <v>0</v>
      </c>
      <c r="M61" s="25"/>
      <c r="N61" s="35">
        <f t="shared" ca="1" si="1"/>
        <v>0</v>
      </c>
      <c r="O61" s="26" t="s">
        <v>117</v>
      </c>
      <c r="P61" s="1"/>
      <c r="Q61" s="5"/>
      <c r="R61" s="41">
        <v>54851</v>
      </c>
      <c r="S61" s="41">
        <v>26</v>
      </c>
      <c r="T61" s="39" t="s">
        <v>388</v>
      </c>
      <c r="U61" s="40">
        <v>106.8</v>
      </c>
      <c r="V61" s="40">
        <v>106.8</v>
      </c>
      <c r="W61" s="40">
        <v>0</v>
      </c>
      <c r="X61" s="44"/>
      <c r="Y61" s="44"/>
      <c r="Z61" s="45"/>
      <c r="AA61" s="44"/>
      <c r="AB61" s="44"/>
      <c r="AC61" s="53" t="s">
        <v>117</v>
      </c>
      <c r="AD61" s="1"/>
    </row>
    <row r="62" spans="1:30" x14ac:dyDescent="0.2">
      <c r="A62" s="1"/>
      <c r="B62" s="1"/>
      <c r="C62" s="1"/>
      <c r="D62" s="1"/>
      <c r="F62" s="1"/>
      <c r="G62" s="5"/>
      <c r="H62" s="24" t="s">
        <v>163</v>
      </c>
      <c r="I62" s="24" t="s">
        <v>16</v>
      </c>
      <c r="J62" s="23">
        <v>0</v>
      </c>
      <c r="K62" s="25">
        <v>202.63</v>
      </c>
      <c r="L62" s="25">
        <f t="shared" ca="1" si="2"/>
        <v>0</v>
      </c>
      <c r="M62" s="25"/>
      <c r="N62" s="35">
        <f t="shared" ca="1" si="1"/>
        <v>0</v>
      </c>
      <c r="O62" s="26" t="s">
        <v>117</v>
      </c>
      <c r="P62" s="1"/>
      <c r="Q62" s="5"/>
      <c r="R62" s="41">
        <v>54853</v>
      </c>
      <c r="S62" s="41">
        <v>4</v>
      </c>
      <c r="T62" s="39" t="s">
        <v>388</v>
      </c>
      <c r="U62" s="40">
        <v>136.82</v>
      </c>
      <c r="V62" s="40">
        <v>136.82</v>
      </c>
      <c r="W62" s="40">
        <v>0</v>
      </c>
      <c r="X62" s="44"/>
      <c r="Y62" s="44"/>
      <c r="Z62" s="45"/>
      <c r="AA62" s="44"/>
      <c r="AB62" s="44"/>
      <c r="AC62" s="53" t="s">
        <v>117</v>
      </c>
      <c r="AD62" s="1"/>
    </row>
    <row r="63" spans="1:30" x14ac:dyDescent="0.2">
      <c r="F63" s="1"/>
      <c r="G63" s="5"/>
      <c r="H63" s="24" t="s">
        <v>164</v>
      </c>
      <c r="I63" s="24" t="s">
        <v>16</v>
      </c>
      <c r="J63" s="23">
        <v>0</v>
      </c>
      <c r="K63" s="25">
        <v>105.11</v>
      </c>
      <c r="L63" s="25">
        <f t="shared" ca="1" si="2"/>
        <v>0</v>
      </c>
      <c r="M63" s="25"/>
      <c r="N63" s="35">
        <f t="shared" ca="1" si="1"/>
        <v>0</v>
      </c>
      <c r="O63" s="26" t="s">
        <v>117</v>
      </c>
      <c r="P63" s="1"/>
      <c r="Q63" s="5"/>
      <c r="R63" s="41">
        <v>54854</v>
      </c>
      <c r="S63" s="41">
        <v>2</v>
      </c>
      <c r="T63" s="39" t="s">
        <v>388</v>
      </c>
      <c r="U63" s="40">
        <v>47.8</v>
      </c>
      <c r="V63" s="40">
        <v>47.8</v>
      </c>
      <c r="W63" s="40">
        <v>0</v>
      </c>
      <c r="X63" s="44"/>
      <c r="Y63" s="44"/>
      <c r="Z63" s="45"/>
      <c r="AA63" s="44"/>
      <c r="AB63" s="44"/>
      <c r="AC63" s="53" t="s">
        <v>117</v>
      </c>
      <c r="AD63" s="1"/>
    </row>
    <row r="64" spans="1:30" x14ac:dyDescent="0.2">
      <c r="F64" s="1"/>
      <c r="G64" s="5"/>
      <c r="H64" s="24" t="s">
        <v>165</v>
      </c>
      <c r="I64" s="24" t="s">
        <v>16</v>
      </c>
      <c r="J64" s="23">
        <v>0</v>
      </c>
      <c r="K64" s="25">
        <v>723.9</v>
      </c>
      <c r="L64" s="25">
        <f t="shared" ca="1" si="2"/>
        <v>0</v>
      </c>
      <c r="M64" s="25"/>
      <c r="N64" s="35">
        <f t="shared" ca="1" si="1"/>
        <v>0</v>
      </c>
      <c r="O64" s="26" t="s">
        <v>117</v>
      </c>
      <c r="P64" s="1"/>
      <c r="Q64" s="5"/>
      <c r="R64" s="41">
        <v>54855</v>
      </c>
      <c r="S64" s="41">
        <v>2</v>
      </c>
      <c r="T64" s="39" t="s">
        <v>388</v>
      </c>
      <c r="U64" s="40">
        <v>29.99</v>
      </c>
      <c r="V64" s="40">
        <v>29.99</v>
      </c>
      <c r="W64" s="40">
        <v>0</v>
      </c>
      <c r="X64" s="44"/>
      <c r="Y64" s="44"/>
      <c r="Z64" s="45"/>
      <c r="AA64" s="44"/>
      <c r="AB64" s="44"/>
      <c r="AC64" s="53" t="s">
        <v>117</v>
      </c>
      <c r="AD64" s="1"/>
    </row>
    <row r="65" spans="6:30" x14ac:dyDescent="0.2">
      <c r="F65" s="1"/>
      <c r="G65" s="5"/>
      <c r="H65" s="24" t="s">
        <v>166</v>
      </c>
      <c r="I65" s="24" t="s">
        <v>16</v>
      </c>
      <c r="J65" s="23">
        <v>0</v>
      </c>
      <c r="K65" s="25">
        <v>68.7</v>
      </c>
      <c r="L65" s="25">
        <f t="shared" ca="1" si="2"/>
        <v>0</v>
      </c>
      <c r="M65" s="25"/>
      <c r="N65" s="35">
        <f t="shared" ca="1" si="1"/>
        <v>0</v>
      </c>
      <c r="O65" s="26" t="s">
        <v>117</v>
      </c>
      <c r="P65" s="1"/>
      <c r="Q65" s="5"/>
      <c r="R65" s="41">
        <v>54856</v>
      </c>
      <c r="S65" s="41">
        <v>2</v>
      </c>
      <c r="T65" s="39" t="s">
        <v>388</v>
      </c>
      <c r="U65" s="40">
        <v>59.8</v>
      </c>
      <c r="V65" s="40">
        <v>59.8</v>
      </c>
      <c r="W65" s="40">
        <v>0</v>
      </c>
      <c r="X65" s="44"/>
      <c r="Y65" s="44"/>
      <c r="Z65" s="45"/>
      <c r="AA65" s="44"/>
      <c r="AB65" s="44"/>
      <c r="AC65" s="53" t="s">
        <v>117</v>
      </c>
      <c r="AD65" s="1"/>
    </row>
    <row r="66" spans="6:30" x14ac:dyDescent="0.2">
      <c r="F66" s="1"/>
      <c r="G66" s="5"/>
      <c r="H66" s="24" t="s">
        <v>167</v>
      </c>
      <c r="I66" s="24" t="s">
        <v>16</v>
      </c>
      <c r="J66" s="23">
        <v>0</v>
      </c>
      <c r="K66" s="25">
        <v>16.29</v>
      </c>
      <c r="L66" s="25">
        <f t="shared" ca="1" si="2"/>
        <v>0</v>
      </c>
      <c r="M66" s="25"/>
      <c r="N66" s="35">
        <f t="shared" ca="1" si="1"/>
        <v>0</v>
      </c>
      <c r="O66" s="26" t="s">
        <v>117</v>
      </c>
      <c r="P66" s="1"/>
      <c r="Q66" s="5"/>
      <c r="R66" s="41">
        <v>54857</v>
      </c>
      <c r="S66" s="41">
        <v>2</v>
      </c>
      <c r="T66" s="39" t="s">
        <v>388</v>
      </c>
      <c r="U66" s="40">
        <v>291.45999999999998</v>
      </c>
      <c r="V66" s="40">
        <v>291.45999999999998</v>
      </c>
      <c r="W66" s="40">
        <v>0</v>
      </c>
      <c r="X66" s="44"/>
      <c r="Y66" s="44"/>
      <c r="Z66" s="45"/>
      <c r="AA66" s="44"/>
      <c r="AB66" s="44"/>
      <c r="AC66" s="53" t="s">
        <v>117</v>
      </c>
      <c r="AD66" s="1"/>
    </row>
    <row r="67" spans="6:30" x14ac:dyDescent="0.2">
      <c r="F67" s="1"/>
      <c r="G67" s="5"/>
      <c r="H67" s="24" t="s">
        <v>168</v>
      </c>
      <c r="I67" s="24" t="s">
        <v>16</v>
      </c>
      <c r="J67" s="23">
        <v>0</v>
      </c>
      <c r="K67" s="25">
        <v>205.76</v>
      </c>
      <c r="L67" s="25">
        <f t="shared" ca="1" si="2"/>
        <v>0</v>
      </c>
      <c r="M67" s="25"/>
      <c r="N67" s="35">
        <f t="shared" ca="1" si="1"/>
        <v>0</v>
      </c>
      <c r="O67" s="26" t="s">
        <v>117</v>
      </c>
      <c r="P67" s="1"/>
      <c r="Q67" s="5"/>
      <c r="R67" s="41">
        <v>54858</v>
      </c>
      <c r="S67" s="41">
        <v>2</v>
      </c>
      <c r="T67" s="39" t="s">
        <v>388</v>
      </c>
      <c r="U67" s="40">
        <v>31.11</v>
      </c>
      <c r="V67" s="40">
        <v>31.11</v>
      </c>
      <c r="W67" s="40">
        <v>0</v>
      </c>
      <c r="X67" s="44"/>
      <c r="Y67" s="44"/>
      <c r="Z67" s="45"/>
      <c r="AA67" s="44"/>
      <c r="AB67" s="44"/>
      <c r="AC67" s="53" t="s">
        <v>117</v>
      </c>
      <c r="AD67" s="1"/>
    </row>
    <row r="68" spans="6:30" x14ac:dyDescent="0.2">
      <c r="F68" s="1"/>
      <c r="G68" s="5"/>
      <c r="H68" s="24" t="s">
        <v>169</v>
      </c>
      <c r="I68" s="24" t="s">
        <v>16</v>
      </c>
      <c r="J68" s="23">
        <v>0</v>
      </c>
      <c r="K68" s="25">
        <v>-7365.78</v>
      </c>
      <c r="L68" s="25">
        <f t="shared" ca="1" si="2"/>
        <v>0</v>
      </c>
      <c r="M68" s="25"/>
      <c r="N68" s="35">
        <f t="shared" ca="1" si="1"/>
        <v>0</v>
      </c>
      <c r="O68" s="26" t="s">
        <v>117</v>
      </c>
      <c r="P68" s="1"/>
      <c r="Q68" s="5"/>
      <c r="R68" s="41">
        <v>54863</v>
      </c>
      <c r="S68" s="41">
        <v>2</v>
      </c>
      <c r="T68" s="39" t="s">
        <v>388</v>
      </c>
      <c r="U68" s="40">
        <v>21.2</v>
      </c>
      <c r="V68" s="40">
        <v>21.2</v>
      </c>
      <c r="W68" s="40">
        <v>0</v>
      </c>
      <c r="X68" s="44"/>
      <c r="Y68" s="44"/>
      <c r="Z68" s="45"/>
      <c r="AA68" s="44"/>
      <c r="AB68" s="44"/>
      <c r="AC68" s="53" t="s">
        <v>117</v>
      </c>
      <c r="AD68" s="1"/>
    </row>
    <row r="69" spans="6:30" x14ac:dyDescent="0.2">
      <c r="F69" s="1"/>
      <c r="G69" s="5"/>
      <c r="H69" s="24" t="s">
        <v>449</v>
      </c>
      <c r="I69" s="24" t="s">
        <v>16</v>
      </c>
      <c r="J69" s="23">
        <v>0</v>
      </c>
      <c r="K69" s="25">
        <v>-300000</v>
      </c>
      <c r="L69" s="25">
        <f t="shared" ca="1" si="2"/>
        <v>0</v>
      </c>
      <c r="M69" s="25"/>
      <c r="N69" s="35">
        <f t="shared" ca="1" si="1"/>
        <v>0</v>
      </c>
      <c r="O69" s="26" t="s">
        <v>117</v>
      </c>
      <c r="P69" s="1"/>
      <c r="Q69" s="5"/>
      <c r="R69" s="41">
        <v>54875</v>
      </c>
      <c r="S69" s="41">
        <v>2</v>
      </c>
      <c r="T69" s="39" t="s">
        <v>388</v>
      </c>
      <c r="U69" s="40">
        <v>6.42</v>
      </c>
      <c r="V69" s="40">
        <v>6.42</v>
      </c>
      <c r="W69" s="40">
        <v>0</v>
      </c>
      <c r="X69" s="44"/>
      <c r="Y69" s="44"/>
      <c r="Z69" s="45"/>
      <c r="AA69" s="44"/>
      <c r="AB69" s="44"/>
      <c r="AC69" s="53" t="s">
        <v>117</v>
      </c>
      <c r="AD69" s="1"/>
    </row>
    <row r="70" spans="6:30" x14ac:dyDescent="0.2">
      <c r="F70" s="1"/>
      <c r="G70" s="5"/>
      <c r="H70" s="24" t="s">
        <v>450</v>
      </c>
      <c r="I70" s="24" t="s">
        <v>16</v>
      </c>
      <c r="J70" s="23">
        <v>0</v>
      </c>
      <c r="K70" s="25">
        <v>300000</v>
      </c>
      <c r="L70" s="25">
        <f t="shared" ca="1" si="2"/>
        <v>0</v>
      </c>
      <c r="M70" s="25"/>
      <c r="N70" s="35">
        <f t="shared" ca="1" si="1"/>
        <v>0</v>
      </c>
      <c r="O70" s="26" t="s">
        <v>117</v>
      </c>
      <c r="P70" s="1"/>
      <c r="Q70" s="5"/>
      <c r="R70" s="41">
        <v>54876</v>
      </c>
      <c r="S70" s="41">
        <v>1</v>
      </c>
      <c r="T70" s="39" t="s">
        <v>388</v>
      </c>
      <c r="U70" s="40">
        <v>160</v>
      </c>
      <c r="V70" s="40">
        <v>160</v>
      </c>
      <c r="W70" s="40">
        <v>0</v>
      </c>
      <c r="X70" s="44"/>
      <c r="Y70" s="44"/>
      <c r="Z70" s="45"/>
      <c r="AA70" s="44"/>
      <c r="AB70" s="44"/>
      <c r="AC70" s="53" t="s">
        <v>117</v>
      </c>
      <c r="AD70" s="1"/>
    </row>
    <row r="71" spans="6:30" x14ac:dyDescent="0.2">
      <c r="F71" s="1"/>
      <c r="G71" s="5"/>
      <c r="H71" s="24" t="s">
        <v>170</v>
      </c>
      <c r="I71" s="24" t="s">
        <v>16</v>
      </c>
      <c r="J71" s="23">
        <v>0</v>
      </c>
      <c r="K71" s="25">
        <v>206.84</v>
      </c>
      <c r="L71" s="25">
        <f t="shared" ca="1" si="2"/>
        <v>0</v>
      </c>
      <c r="M71" s="25"/>
      <c r="N71" s="35">
        <f t="shared" ca="1" si="1"/>
        <v>0</v>
      </c>
      <c r="O71" s="26" t="s">
        <v>117</v>
      </c>
      <c r="P71" s="1"/>
      <c r="Q71" s="5"/>
      <c r="R71" s="41">
        <v>54876</v>
      </c>
      <c r="S71" s="41">
        <v>4</v>
      </c>
      <c r="T71" s="39" t="s">
        <v>388</v>
      </c>
      <c r="U71" s="40">
        <v>760</v>
      </c>
      <c r="V71" s="40">
        <v>760</v>
      </c>
      <c r="W71" s="40">
        <v>0</v>
      </c>
      <c r="X71" s="44"/>
      <c r="Y71" s="44"/>
      <c r="Z71" s="45"/>
      <c r="AA71" s="44"/>
      <c r="AB71" s="44"/>
      <c r="AC71" s="53" t="s">
        <v>117</v>
      </c>
      <c r="AD71" s="1"/>
    </row>
    <row r="72" spans="6:30" x14ac:dyDescent="0.2">
      <c r="F72" s="1"/>
      <c r="G72" s="5"/>
      <c r="H72" s="24" t="s">
        <v>171</v>
      </c>
      <c r="I72" s="24" t="s">
        <v>16</v>
      </c>
      <c r="J72" s="23">
        <v>0</v>
      </c>
      <c r="K72" s="25">
        <v>1050</v>
      </c>
      <c r="L72" s="25">
        <f t="shared" ca="1" si="2"/>
        <v>0</v>
      </c>
      <c r="M72" s="25"/>
      <c r="N72" s="35">
        <f t="shared" ca="1" si="1"/>
        <v>0</v>
      </c>
      <c r="O72" s="26" t="s">
        <v>117</v>
      </c>
      <c r="P72" s="1"/>
      <c r="Q72" s="5"/>
      <c r="R72" s="41">
        <v>54894</v>
      </c>
      <c r="S72" s="41">
        <v>1</v>
      </c>
      <c r="T72" s="39" t="s">
        <v>388</v>
      </c>
      <c r="U72" s="40">
        <v>10.33</v>
      </c>
      <c r="V72" s="40">
        <v>10.33</v>
      </c>
      <c r="W72" s="40">
        <v>0</v>
      </c>
      <c r="X72" s="44"/>
      <c r="Y72" s="44"/>
      <c r="Z72" s="45"/>
      <c r="AA72" s="44"/>
      <c r="AB72" s="44"/>
      <c r="AC72" s="53" t="s">
        <v>117</v>
      </c>
      <c r="AD72" s="1"/>
    </row>
    <row r="73" spans="6:30" x14ac:dyDescent="0.2">
      <c r="F73" s="1"/>
      <c r="G73" s="5"/>
      <c r="H73" s="24" t="s">
        <v>172</v>
      </c>
      <c r="I73" s="24" t="s">
        <v>16</v>
      </c>
      <c r="J73" s="23">
        <v>0</v>
      </c>
      <c r="K73" s="25">
        <v>-388.34</v>
      </c>
      <c r="L73" s="25">
        <f t="shared" ca="1" si="2"/>
        <v>0</v>
      </c>
      <c r="M73" s="25"/>
      <c r="N73" s="35">
        <f t="shared" ca="1" si="1"/>
        <v>0</v>
      </c>
      <c r="O73" s="26" t="s">
        <v>117</v>
      </c>
      <c r="P73" s="1"/>
      <c r="Q73" s="5"/>
      <c r="R73" s="41">
        <v>54895</v>
      </c>
      <c r="S73" s="41">
        <v>3</v>
      </c>
      <c r="T73" s="39" t="s">
        <v>388</v>
      </c>
      <c r="U73" s="40">
        <v>21.22</v>
      </c>
      <c r="V73" s="40">
        <v>21.22</v>
      </c>
      <c r="W73" s="40">
        <v>0</v>
      </c>
      <c r="X73" s="44"/>
      <c r="Y73" s="44"/>
      <c r="Z73" s="45"/>
      <c r="AA73" s="44"/>
      <c r="AB73" s="44"/>
      <c r="AC73" s="53" t="s">
        <v>117</v>
      </c>
      <c r="AD73" s="1"/>
    </row>
    <row r="74" spans="6:30" x14ac:dyDescent="0.2">
      <c r="F74" s="1"/>
      <c r="G74" s="5"/>
      <c r="H74" s="24" t="s">
        <v>173</v>
      </c>
      <c r="I74" s="24" t="s">
        <v>16</v>
      </c>
      <c r="J74" s="23">
        <v>0</v>
      </c>
      <c r="K74" s="25">
        <v>17.5</v>
      </c>
      <c r="L74" s="25">
        <f t="shared" ca="1" si="2"/>
        <v>0</v>
      </c>
      <c r="M74" s="25"/>
      <c r="N74" s="35">
        <f t="shared" ca="1" si="1"/>
        <v>0</v>
      </c>
      <c r="O74" s="26" t="s">
        <v>117</v>
      </c>
      <c r="P74" s="1"/>
      <c r="Q74" s="5"/>
      <c r="R74" s="41">
        <v>54896</v>
      </c>
      <c r="S74" s="41">
        <v>1</v>
      </c>
      <c r="T74" s="39" t="s">
        <v>388</v>
      </c>
      <c r="U74" s="40">
        <v>10.51</v>
      </c>
      <c r="V74" s="40">
        <v>10.51</v>
      </c>
      <c r="W74" s="40">
        <v>0</v>
      </c>
      <c r="X74" s="44"/>
      <c r="Y74" s="44"/>
      <c r="Z74" s="45"/>
      <c r="AA74" s="44"/>
      <c r="AB74" s="44"/>
      <c r="AC74" s="53" t="s">
        <v>117</v>
      </c>
      <c r="AD74" s="1"/>
    </row>
    <row r="75" spans="6:30" x14ac:dyDescent="0.2">
      <c r="F75" s="1"/>
      <c r="G75" s="5"/>
      <c r="H75" s="24" t="s">
        <v>174</v>
      </c>
      <c r="I75" s="24" t="s">
        <v>16</v>
      </c>
      <c r="J75" s="23">
        <v>0</v>
      </c>
      <c r="K75" s="25">
        <v>2507612.06</v>
      </c>
      <c r="L75" s="25">
        <f t="shared" ca="1" si="2"/>
        <v>0</v>
      </c>
      <c r="M75" s="25"/>
      <c r="N75" s="35">
        <f t="shared" ca="1" si="1"/>
        <v>0</v>
      </c>
      <c r="O75" s="26" t="s">
        <v>117</v>
      </c>
      <c r="P75" s="1"/>
      <c r="Q75" s="5"/>
      <c r="R75" s="41">
        <v>54933</v>
      </c>
      <c r="S75" s="41">
        <v>2</v>
      </c>
      <c r="T75" s="39" t="s">
        <v>388</v>
      </c>
      <c r="U75" s="40">
        <v>8</v>
      </c>
      <c r="V75" s="40">
        <v>8</v>
      </c>
      <c r="W75" s="40">
        <v>0</v>
      </c>
      <c r="X75" s="44"/>
      <c r="Y75" s="44"/>
      <c r="Z75" s="45"/>
      <c r="AA75" s="44"/>
      <c r="AB75" s="44"/>
      <c r="AC75" s="53" t="s">
        <v>117</v>
      </c>
      <c r="AD75" s="1"/>
    </row>
    <row r="76" spans="6:30" x14ac:dyDescent="0.2">
      <c r="F76" s="1"/>
      <c r="G76" s="5"/>
      <c r="H76" s="24" t="s">
        <v>175</v>
      </c>
      <c r="I76" s="24" t="s">
        <v>16</v>
      </c>
      <c r="J76" s="23">
        <v>0</v>
      </c>
      <c r="K76" s="25">
        <v>1253806.04</v>
      </c>
      <c r="L76" s="25">
        <f t="shared" ca="1" si="2"/>
        <v>0</v>
      </c>
      <c r="M76" s="25"/>
      <c r="N76" s="35">
        <f t="shared" ca="1" si="1"/>
        <v>0</v>
      </c>
      <c r="O76" s="26" t="s">
        <v>117</v>
      </c>
      <c r="P76" s="1"/>
      <c r="Q76" s="5"/>
      <c r="R76" s="41">
        <v>54934</v>
      </c>
      <c r="S76" s="41">
        <v>1</v>
      </c>
      <c r="T76" s="39" t="s">
        <v>388</v>
      </c>
      <c r="U76" s="40">
        <v>11.15</v>
      </c>
      <c r="V76" s="40">
        <v>11.15</v>
      </c>
      <c r="W76" s="40">
        <v>0</v>
      </c>
      <c r="X76" s="44"/>
      <c r="Y76" s="44"/>
      <c r="Z76" s="45"/>
      <c r="AA76" s="44"/>
      <c r="AB76" s="44"/>
      <c r="AC76" s="53" t="s">
        <v>117</v>
      </c>
      <c r="AD76" s="1"/>
    </row>
    <row r="77" spans="6:30" x14ac:dyDescent="0.2">
      <c r="F77" s="1"/>
      <c r="G77" s="5"/>
      <c r="H77" s="24" t="s">
        <v>176</v>
      </c>
      <c r="I77" s="24" t="s">
        <v>16</v>
      </c>
      <c r="J77" s="23">
        <v>0</v>
      </c>
      <c r="K77" s="25">
        <v>3107.32</v>
      </c>
      <c r="L77" s="25">
        <f t="shared" ca="1" si="2"/>
        <v>0</v>
      </c>
      <c r="M77" s="25"/>
      <c r="N77" s="35">
        <f t="shared" ca="1" si="1"/>
        <v>0</v>
      </c>
      <c r="O77" s="26" t="s">
        <v>117</v>
      </c>
      <c r="P77" s="1"/>
      <c r="Q77" s="5"/>
      <c r="R77" s="41">
        <v>54935</v>
      </c>
      <c r="S77" s="41">
        <v>2</v>
      </c>
      <c r="T77" s="39" t="s">
        <v>388</v>
      </c>
      <c r="U77" s="40">
        <v>130.99</v>
      </c>
      <c r="V77" s="40">
        <v>130.99</v>
      </c>
      <c r="W77" s="40">
        <v>0</v>
      </c>
      <c r="X77" s="44"/>
      <c r="Y77" s="44"/>
      <c r="Z77" s="45"/>
      <c r="AA77" s="44"/>
      <c r="AB77" s="44"/>
      <c r="AC77" s="53" t="s">
        <v>117</v>
      </c>
      <c r="AD77" s="1"/>
    </row>
    <row r="78" spans="6:30" x14ac:dyDescent="0.2">
      <c r="F78" s="1"/>
      <c r="G78" s="5"/>
      <c r="H78" s="24" t="s">
        <v>177</v>
      </c>
      <c r="I78" s="24" t="s">
        <v>16</v>
      </c>
      <c r="J78" s="23">
        <v>0</v>
      </c>
      <c r="K78" s="25">
        <v>1553.66</v>
      </c>
      <c r="L78" s="25">
        <f t="shared" ca="1" si="2"/>
        <v>0</v>
      </c>
      <c r="M78" s="25"/>
      <c r="N78" s="35">
        <f t="shared" ca="1" si="1"/>
        <v>0</v>
      </c>
      <c r="O78" s="26" t="s">
        <v>117</v>
      </c>
      <c r="P78" s="1"/>
      <c r="Q78" s="5"/>
      <c r="R78" s="41">
        <v>54937</v>
      </c>
      <c r="S78" s="41">
        <v>3</v>
      </c>
      <c r="T78" s="39" t="s">
        <v>388</v>
      </c>
      <c r="U78" s="40">
        <v>15.7</v>
      </c>
      <c r="V78" s="40">
        <v>15.7</v>
      </c>
      <c r="W78" s="40">
        <v>0</v>
      </c>
      <c r="X78" s="44"/>
      <c r="Y78" s="44"/>
      <c r="Z78" s="45"/>
      <c r="AA78" s="44"/>
      <c r="AB78" s="44"/>
      <c r="AC78" s="53" t="s">
        <v>117</v>
      </c>
      <c r="AD78" s="1"/>
    </row>
    <row r="79" spans="6:30" x14ac:dyDescent="0.2">
      <c r="F79" s="1"/>
      <c r="G79" s="5"/>
      <c r="H79" s="24" t="s">
        <v>178</v>
      </c>
      <c r="I79" s="24" t="s">
        <v>16</v>
      </c>
      <c r="J79" s="23">
        <v>0</v>
      </c>
      <c r="K79" s="25">
        <v>27883.48</v>
      </c>
      <c r="L79" s="25">
        <f t="shared" ca="1" si="2"/>
        <v>0</v>
      </c>
      <c r="M79" s="25"/>
      <c r="N79" s="35">
        <f t="shared" ca="1" si="1"/>
        <v>0</v>
      </c>
      <c r="O79" s="26" t="s">
        <v>117</v>
      </c>
      <c r="P79" s="1"/>
      <c r="Q79" s="5"/>
      <c r="R79" s="41">
        <v>54939</v>
      </c>
      <c r="S79" s="41">
        <v>3</v>
      </c>
      <c r="T79" s="39" t="s">
        <v>388</v>
      </c>
      <c r="U79" s="40">
        <v>40</v>
      </c>
      <c r="V79" s="40">
        <v>40</v>
      </c>
      <c r="W79" s="40">
        <v>0</v>
      </c>
      <c r="X79" s="44"/>
      <c r="Y79" s="44"/>
      <c r="Z79" s="45"/>
      <c r="AA79" s="44"/>
      <c r="AB79" s="44"/>
      <c r="AC79" s="53" t="s">
        <v>117</v>
      </c>
      <c r="AD79" s="1"/>
    </row>
    <row r="80" spans="6:30" x14ac:dyDescent="0.2">
      <c r="F80" s="1"/>
      <c r="G80" s="5"/>
      <c r="H80" s="24" t="s">
        <v>179</v>
      </c>
      <c r="I80" s="24" t="s">
        <v>16</v>
      </c>
      <c r="J80" s="23">
        <v>0</v>
      </c>
      <c r="K80" s="25">
        <v>27883.48</v>
      </c>
      <c r="L80" s="25">
        <f t="shared" ca="1" si="2"/>
        <v>0</v>
      </c>
      <c r="M80" s="25"/>
      <c r="N80" s="35">
        <f t="shared" ca="1" si="1"/>
        <v>0</v>
      </c>
      <c r="O80" s="26" t="s">
        <v>117</v>
      </c>
      <c r="P80" s="1"/>
      <c r="Q80" s="5"/>
      <c r="R80" s="41">
        <v>54940</v>
      </c>
      <c r="S80" s="41">
        <v>2</v>
      </c>
      <c r="T80" s="39" t="s">
        <v>388</v>
      </c>
      <c r="U80" s="40">
        <v>34</v>
      </c>
      <c r="V80" s="40">
        <v>34</v>
      </c>
      <c r="W80" s="40">
        <v>0</v>
      </c>
      <c r="X80" s="44"/>
      <c r="Y80" s="44"/>
      <c r="Z80" s="45"/>
      <c r="AA80" s="44"/>
      <c r="AB80" s="44"/>
      <c r="AC80" s="53" t="s">
        <v>117</v>
      </c>
      <c r="AD80" s="1"/>
    </row>
    <row r="81" spans="6:30" x14ac:dyDescent="0.2">
      <c r="F81" s="1"/>
      <c r="G81" s="5"/>
      <c r="H81" s="24" t="s">
        <v>180</v>
      </c>
      <c r="I81" s="24" t="s">
        <v>16</v>
      </c>
      <c r="J81" s="23">
        <v>0</v>
      </c>
      <c r="K81" s="25">
        <v>-27883.48</v>
      </c>
      <c r="L81" s="25">
        <f t="shared" ca="1" si="2"/>
        <v>0</v>
      </c>
      <c r="M81" s="25"/>
      <c r="N81" s="35">
        <f t="shared" ca="1" si="1"/>
        <v>0</v>
      </c>
      <c r="O81" s="26" t="s">
        <v>117</v>
      </c>
      <c r="P81" s="1"/>
      <c r="Q81" s="5"/>
      <c r="R81" s="41">
        <v>54941</v>
      </c>
      <c r="S81" s="41">
        <v>2</v>
      </c>
      <c r="T81" s="39" t="s">
        <v>388</v>
      </c>
      <c r="U81" s="40">
        <v>11.32</v>
      </c>
      <c r="V81" s="40">
        <v>11.32</v>
      </c>
      <c r="W81" s="40">
        <v>0</v>
      </c>
      <c r="X81" s="44"/>
      <c r="Y81" s="44"/>
      <c r="Z81" s="45"/>
      <c r="AA81" s="44"/>
      <c r="AB81" s="44"/>
      <c r="AC81" s="53" t="s">
        <v>117</v>
      </c>
      <c r="AD81" s="1"/>
    </row>
    <row r="82" spans="6:30" x14ac:dyDescent="0.2">
      <c r="F82" s="1"/>
      <c r="G82" s="5"/>
      <c r="H82" s="24" t="s">
        <v>181</v>
      </c>
      <c r="I82" s="24" t="s">
        <v>16</v>
      </c>
      <c r="J82" s="23">
        <v>0</v>
      </c>
      <c r="K82" s="25">
        <v>13941.74</v>
      </c>
      <c r="L82" s="25">
        <f t="shared" ca="1" si="2"/>
        <v>0</v>
      </c>
      <c r="M82" s="25"/>
      <c r="N82" s="35">
        <f t="shared" ca="1" si="1"/>
        <v>0</v>
      </c>
      <c r="O82" s="26" t="s">
        <v>117</v>
      </c>
      <c r="P82" s="1"/>
      <c r="Q82" s="5"/>
      <c r="R82" s="41">
        <v>54942</v>
      </c>
      <c r="S82" s="41">
        <v>2</v>
      </c>
      <c r="T82" s="39" t="s">
        <v>388</v>
      </c>
      <c r="U82" s="40">
        <v>8.23</v>
      </c>
      <c r="V82" s="40">
        <v>8.23</v>
      </c>
      <c r="W82" s="40">
        <v>0</v>
      </c>
      <c r="X82" s="44"/>
      <c r="Y82" s="44"/>
      <c r="Z82" s="45"/>
      <c r="AA82" s="44"/>
      <c r="AB82" s="44"/>
      <c r="AC82" s="53" t="s">
        <v>117</v>
      </c>
      <c r="AD82" s="1"/>
    </row>
    <row r="83" spans="6:30" x14ac:dyDescent="0.2">
      <c r="F83" s="1"/>
      <c r="G83" s="5"/>
      <c r="H83" s="24" t="s">
        <v>451</v>
      </c>
      <c r="I83" s="24" t="s">
        <v>16</v>
      </c>
      <c r="J83" s="23">
        <v>0</v>
      </c>
      <c r="K83" s="25">
        <v>-175504.59</v>
      </c>
      <c r="L83" s="25">
        <f t="shared" ca="1" si="2"/>
        <v>0</v>
      </c>
      <c r="M83" s="25"/>
      <c r="N83" s="35">
        <f t="shared" ca="1" si="1"/>
        <v>0</v>
      </c>
      <c r="O83" s="26" t="s">
        <v>117</v>
      </c>
      <c r="P83" s="1"/>
      <c r="Q83" s="5"/>
      <c r="R83" s="41">
        <v>54946</v>
      </c>
      <c r="S83" s="41">
        <v>3</v>
      </c>
      <c r="T83" s="39" t="s">
        <v>388</v>
      </c>
      <c r="U83" s="40">
        <v>2616.59</v>
      </c>
      <c r="V83" s="40">
        <v>2616.59</v>
      </c>
      <c r="W83" s="40">
        <v>0</v>
      </c>
      <c r="X83" s="44"/>
      <c r="Y83" s="44"/>
      <c r="Z83" s="45"/>
      <c r="AA83" s="44"/>
      <c r="AB83" s="44"/>
      <c r="AC83" s="53" t="s">
        <v>117</v>
      </c>
      <c r="AD83" s="1"/>
    </row>
    <row r="84" spans="6:30" x14ac:dyDescent="0.2">
      <c r="F84" s="1"/>
      <c r="G84" s="5"/>
      <c r="H84" s="24" t="s">
        <v>182</v>
      </c>
      <c r="I84" s="24" t="s">
        <v>16</v>
      </c>
      <c r="J84" s="23">
        <v>0</v>
      </c>
      <c r="K84" s="25">
        <v>1095029.02</v>
      </c>
      <c r="L84" s="25">
        <f t="shared" ref="L84:L115" ca="1" si="3">ROUND(J84*K84,2)</f>
        <v>0</v>
      </c>
      <c r="M84" s="25">
        <v>-56069.4</v>
      </c>
      <c r="N84" s="35">
        <f t="shared" ref="N84:N147" ca="1" si="4">IF(AND(M84&gt;L84-0.1,M84&lt;L84+0.1),0,1)</f>
        <v>1</v>
      </c>
      <c r="O84" s="26" t="s">
        <v>117</v>
      </c>
      <c r="P84" s="1"/>
      <c r="Q84" s="5"/>
      <c r="R84" s="41">
        <v>54949</v>
      </c>
      <c r="S84" s="41">
        <v>4</v>
      </c>
      <c r="T84" s="39" t="s">
        <v>388</v>
      </c>
      <c r="U84" s="40">
        <v>38.270000000000003</v>
      </c>
      <c r="V84" s="40">
        <v>38.270000000000003</v>
      </c>
      <c r="W84" s="40">
        <v>0</v>
      </c>
      <c r="X84" s="44"/>
      <c r="Y84" s="44"/>
      <c r="Z84" s="45"/>
      <c r="AA84" s="44"/>
      <c r="AB84" s="44"/>
      <c r="AC84" s="53" t="s">
        <v>117</v>
      </c>
      <c r="AD84" s="1"/>
    </row>
    <row r="85" spans="6:30" x14ac:dyDescent="0.2">
      <c r="F85" s="1"/>
      <c r="G85" s="5"/>
      <c r="H85" s="24" t="s">
        <v>452</v>
      </c>
      <c r="I85" s="24" t="s">
        <v>16</v>
      </c>
      <c r="J85" s="23">
        <v>0</v>
      </c>
      <c r="K85" s="25">
        <v>-924495.41</v>
      </c>
      <c r="L85" s="25">
        <f t="shared" ca="1" si="3"/>
        <v>0</v>
      </c>
      <c r="M85" s="25"/>
      <c r="N85" s="35">
        <f t="shared" ca="1" si="4"/>
        <v>0</v>
      </c>
      <c r="O85" s="26" t="s">
        <v>117</v>
      </c>
      <c r="P85" s="1"/>
      <c r="Q85" s="5"/>
      <c r="R85" s="41">
        <v>54949</v>
      </c>
      <c r="S85" s="41">
        <v>6</v>
      </c>
      <c r="T85" s="39" t="s">
        <v>388</v>
      </c>
      <c r="U85" s="40">
        <v>1203.03</v>
      </c>
      <c r="V85" s="40">
        <v>1203.03</v>
      </c>
      <c r="W85" s="40">
        <v>0</v>
      </c>
      <c r="X85" s="44"/>
      <c r="Y85" s="44"/>
      <c r="Z85" s="45"/>
      <c r="AA85" s="44"/>
      <c r="AB85" s="44"/>
      <c r="AC85" s="53" t="s">
        <v>117</v>
      </c>
      <c r="AD85" s="1"/>
    </row>
    <row r="86" spans="6:30" x14ac:dyDescent="0.2">
      <c r="F86" s="1"/>
      <c r="G86" s="5"/>
      <c r="H86" s="24" t="s">
        <v>183</v>
      </c>
      <c r="I86" s="24" t="s">
        <v>16</v>
      </c>
      <c r="J86" s="23">
        <v>0</v>
      </c>
      <c r="K86" s="25">
        <v>8677.3799999999992</v>
      </c>
      <c r="L86" s="25">
        <f t="shared" ca="1" si="3"/>
        <v>0</v>
      </c>
      <c r="M86" s="25"/>
      <c r="N86" s="35">
        <f t="shared" ca="1" si="4"/>
        <v>0</v>
      </c>
      <c r="O86" s="26" t="s">
        <v>117</v>
      </c>
      <c r="P86" s="1"/>
      <c r="Q86" s="5"/>
      <c r="R86" s="41">
        <v>54949</v>
      </c>
      <c r="S86" s="41">
        <v>9</v>
      </c>
      <c r="T86" s="39" t="s">
        <v>388</v>
      </c>
      <c r="U86" s="40">
        <v>195.8</v>
      </c>
      <c r="V86" s="40">
        <v>195.8</v>
      </c>
      <c r="W86" s="40">
        <v>0</v>
      </c>
      <c r="X86" s="44"/>
      <c r="Y86" s="44"/>
      <c r="Z86" s="45"/>
      <c r="AA86" s="44"/>
      <c r="AB86" s="44"/>
      <c r="AC86" s="53" t="s">
        <v>117</v>
      </c>
      <c r="AD86" s="1"/>
    </row>
    <row r="87" spans="6:30" x14ac:dyDescent="0.2">
      <c r="F87" s="1"/>
      <c r="G87" s="5"/>
      <c r="H87" s="24" t="s">
        <v>184</v>
      </c>
      <c r="I87" s="24" t="s">
        <v>16</v>
      </c>
      <c r="J87" s="23">
        <v>0</v>
      </c>
      <c r="K87" s="25">
        <v>-42916.25</v>
      </c>
      <c r="L87" s="25">
        <f t="shared" ca="1" si="3"/>
        <v>0</v>
      </c>
      <c r="M87" s="25"/>
      <c r="N87" s="35">
        <f t="shared" ca="1" si="4"/>
        <v>0</v>
      </c>
      <c r="O87" s="26" t="s">
        <v>117</v>
      </c>
      <c r="P87" s="1"/>
      <c r="Q87" s="5"/>
      <c r="R87" s="41">
        <v>54950</v>
      </c>
      <c r="S87" s="41">
        <v>2</v>
      </c>
      <c r="T87" s="39" t="s">
        <v>388</v>
      </c>
      <c r="U87" s="40">
        <v>921.4</v>
      </c>
      <c r="V87" s="40">
        <v>921.4</v>
      </c>
      <c r="W87" s="40">
        <v>0</v>
      </c>
      <c r="X87" s="44"/>
      <c r="Y87" s="44"/>
      <c r="Z87" s="45"/>
      <c r="AA87" s="44"/>
      <c r="AB87" s="44"/>
      <c r="AC87" s="53" t="s">
        <v>117</v>
      </c>
      <c r="AD87" s="1"/>
    </row>
    <row r="88" spans="6:30" x14ac:dyDescent="0.2">
      <c r="F88" s="1"/>
      <c r="G88" s="5"/>
      <c r="H88" s="24" t="s">
        <v>185</v>
      </c>
      <c r="I88" s="24" t="s">
        <v>16</v>
      </c>
      <c r="J88" s="23">
        <v>0</v>
      </c>
      <c r="K88" s="25">
        <v>42916.25</v>
      </c>
      <c r="L88" s="25">
        <f t="shared" ca="1" si="3"/>
        <v>0</v>
      </c>
      <c r="M88" s="25"/>
      <c r="N88" s="35">
        <f t="shared" ca="1" si="4"/>
        <v>0</v>
      </c>
      <c r="O88" s="26" t="s">
        <v>117</v>
      </c>
      <c r="P88" s="1"/>
      <c r="Q88" s="5"/>
      <c r="R88" s="41">
        <v>54951</v>
      </c>
      <c r="S88" s="41">
        <v>2</v>
      </c>
      <c r="T88" s="39" t="s">
        <v>388</v>
      </c>
      <c r="U88" s="40">
        <v>1988.5</v>
      </c>
      <c r="V88" s="40">
        <v>1988.5</v>
      </c>
      <c r="W88" s="40">
        <v>0</v>
      </c>
      <c r="X88" s="44"/>
      <c r="Y88" s="44"/>
      <c r="Z88" s="45"/>
      <c r="AA88" s="44"/>
      <c r="AB88" s="44"/>
      <c r="AC88" s="53" t="s">
        <v>117</v>
      </c>
      <c r="AD88" s="1"/>
    </row>
    <row r="89" spans="6:30" x14ac:dyDescent="0.2">
      <c r="F89" s="1"/>
      <c r="G89" s="5"/>
      <c r="H89" s="24" t="s">
        <v>186</v>
      </c>
      <c r="I89" s="24" t="s">
        <v>16</v>
      </c>
      <c r="J89" s="23">
        <v>0</v>
      </c>
      <c r="K89" s="25">
        <v>42916.25</v>
      </c>
      <c r="L89" s="25">
        <f t="shared" ca="1" si="3"/>
        <v>0</v>
      </c>
      <c r="M89" s="25"/>
      <c r="N89" s="35">
        <f t="shared" ca="1" si="4"/>
        <v>0</v>
      </c>
      <c r="O89" s="26" t="s">
        <v>117</v>
      </c>
      <c r="P89" s="1"/>
      <c r="Q89" s="5"/>
      <c r="R89" s="41">
        <v>54952</v>
      </c>
      <c r="S89" s="41">
        <v>2</v>
      </c>
      <c r="T89" s="39" t="s">
        <v>388</v>
      </c>
      <c r="U89" s="40">
        <v>4.8899999999999997</v>
      </c>
      <c r="V89" s="40">
        <v>4.8899999999999997</v>
      </c>
      <c r="W89" s="40">
        <v>0</v>
      </c>
      <c r="X89" s="44"/>
      <c r="Y89" s="44"/>
      <c r="Z89" s="45"/>
      <c r="AA89" s="44"/>
      <c r="AB89" s="44"/>
      <c r="AC89" s="53" t="s">
        <v>117</v>
      </c>
      <c r="AD89" s="1"/>
    </row>
    <row r="90" spans="6:30" x14ac:dyDescent="0.2">
      <c r="F90" s="1"/>
      <c r="G90" s="5"/>
      <c r="H90" s="24" t="s">
        <v>187</v>
      </c>
      <c r="I90" s="24" t="s">
        <v>16</v>
      </c>
      <c r="J90" s="23">
        <v>0</v>
      </c>
      <c r="K90" s="25">
        <v>-20920.64</v>
      </c>
      <c r="L90" s="25">
        <f t="shared" ca="1" si="3"/>
        <v>0</v>
      </c>
      <c r="M90" s="25"/>
      <c r="N90" s="35">
        <f t="shared" ca="1" si="4"/>
        <v>0</v>
      </c>
      <c r="O90" s="26" t="s">
        <v>117</v>
      </c>
      <c r="P90" s="1"/>
      <c r="Q90" s="5"/>
      <c r="R90" s="41">
        <v>54953</v>
      </c>
      <c r="S90" s="41">
        <v>2</v>
      </c>
      <c r="T90" s="39" t="s">
        <v>388</v>
      </c>
      <c r="U90" s="40">
        <v>25.22</v>
      </c>
      <c r="V90" s="40">
        <v>25.22</v>
      </c>
      <c r="W90" s="40">
        <v>0</v>
      </c>
      <c r="X90" s="44"/>
      <c r="Y90" s="44"/>
      <c r="Z90" s="45"/>
      <c r="AA90" s="44"/>
      <c r="AB90" s="44"/>
      <c r="AC90" s="53" t="s">
        <v>117</v>
      </c>
      <c r="AD90" s="1"/>
    </row>
    <row r="91" spans="6:30" x14ac:dyDescent="0.2">
      <c r="F91" s="1"/>
      <c r="G91" s="5"/>
      <c r="H91" s="24" t="s">
        <v>188</v>
      </c>
      <c r="I91" s="24" t="s">
        <v>16</v>
      </c>
      <c r="J91" s="23">
        <v>0</v>
      </c>
      <c r="K91" s="25">
        <v>10333.99</v>
      </c>
      <c r="L91" s="25">
        <f t="shared" ca="1" si="3"/>
        <v>0</v>
      </c>
      <c r="M91" s="25"/>
      <c r="N91" s="35">
        <f t="shared" ca="1" si="4"/>
        <v>0</v>
      </c>
      <c r="O91" s="26" t="s">
        <v>117</v>
      </c>
      <c r="P91" s="1"/>
      <c r="Q91" s="5"/>
      <c r="R91" s="41">
        <v>54954</v>
      </c>
      <c r="S91" s="41">
        <v>2</v>
      </c>
      <c r="T91" s="39" t="s">
        <v>388</v>
      </c>
      <c r="U91" s="40">
        <v>455.71</v>
      </c>
      <c r="V91" s="40">
        <v>455.71</v>
      </c>
      <c r="W91" s="40">
        <v>0</v>
      </c>
      <c r="X91" s="44"/>
      <c r="Y91" s="44"/>
      <c r="Z91" s="45"/>
      <c r="AA91" s="44"/>
      <c r="AB91" s="44"/>
      <c r="AC91" s="53" t="s">
        <v>117</v>
      </c>
      <c r="AD91" s="1"/>
    </row>
    <row r="92" spans="6:30" x14ac:dyDescent="0.2">
      <c r="F92" s="1"/>
      <c r="G92" s="5"/>
      <c r="H92" s="24" t="s">
        <v>291</v>
      </c>
      <c r="I92" s="24" t="s">
        <v>16</v>
      </c>
      <c r="J92" s="23">
        <v>0</v>
      </c>
      <c r="K92" s="25">
        <v>167.34</v>
      </c>
      <c r="L92" s="25">
        <f t="shared" ca="1" si="3"/>
        <v>0</v>
      </c>
      <c r="M92" s="25"/>
      <c r="N92" s="35">
        <f t="shared" ca="1" si="4"/>
        <v>0</v>
      </c>
      <c r="O92" s="26" t="s">
        <v>117</v>
      </c>
      <c r="P92" s="1"/>
      <c r="Q92" s="5"/>
      <c r="R92" s="41">
        <v>54955</v>
      </c>
      <c r="S92" s="41">
        <v>2</v>
      </c>
      <c r="T92" s="39" t="s">
        <v>388</v>
      </c>
      <c r="U92" s="40">
        <v>4.54</v>
      </c>
      <c r="V92" s="40">
        <v>4.54</v>
      </c>
      <c r="W92" s="40">
        <v>0</v>
      </c>
      <c r="X92" s="44"/>
      <c r="Y92" s="44"/>
      <c r="Z92" s="45"/>
      <c r="AA92" s="44"/>
      <c r="AB92" s="44"/>
      <c r="AC92" s="53" t="s">
        <v>117</v>
      </c>
      <c r="AD92" s="1"/>
    </row>
    <row r="93" spans="6:30" x14ac:dyDescent="0.2">
      <c r="F93" s="1"/>
      <c r="G93" s="5"/>
      <c r="H93" s="24" t="s">
        <v>127</v>
      </c>
      <c r="I93" s="24" t="s">
        <v>16</v>
      </c>
      <c r="J93" s="23">
        <v>0</v>
      </c>
      <c r="K93" s="25">
        <v>8765.41</v>
      </c>
      <c r="L93" s="25">
        <f t="shared" ca="1" si="3"/>
        <v>0</v>
      </c>
      <c r="M93" s="25"/>
      <c r="N93" s="35">
        <f t="shared" ca="1" si="4"/>
        <v>0</v>
      </c>
      <c r="O93" s="26" t="s">
        <v>117</v>
      </c>
      <c r="P93" s="1"/>
      <c r="Q93" s="5"/>
      <c r="R93" s="41">
        <v>54956</v>
      </c>
      <c r="S93" s="41">
        <v>1</v>
      </c>
      <c r="T93" s="39" t="s">
        <v>388</v>
      </c>
      <c r="U93" s="40">
        <v>126</v>
      </c>
      <c r="V93" s="40">
        <v>126</v>
      </c>
      <c r="W93" s="40">
        <v>0</v>
      </c>
      <c r="X93" s="44"/>
      <c r="Y93" s="44"/>
      <c r="Z93" s="45"/>
      <c r="AA93" s="44"/>
      <c r="AB93" s="44"/>
      <c r="AC93" s="53" t="s">
        <v>117</v>
      </c>
      <c r="AD93" s="1"/>
    </row>
    <row r="94" spans="6:30" x14ac:dyDescent="0.2">
      <c r="F94" s="1"/>
      <c r="G94" s="5"/>
      <c r="H94" s="24" t="s">
        <v>44</v>
      </c>
      <c r="I94" s="24" t="s">
        <v>16</v>
      </c>
      <c r="J94" s="23">
        <v>0</v>
      </c>
      <c r="K94" s="25">
        <v>4620</v>
      </c>
      <c r="L94" s="25">
        <f t="shared" ca="1" si="3"/>
        <v>0</v>
      </c>
      <c r="M94" s="25"/>
      <c r="N94" s="35">
        <f t="shared" ca="1" si="4"/>
        <v>0</v>
      </c>
      <c r="O94" s="26" t="s">
        <v>117</v>
      </c>
      <c r="P94" s="1"/>
      <c r="Q94" s="5"/>
      <c r="R94" s="41">
        <v>54957</v>
      </c>
      <c r="S94" s="41">
        <v>3</v>
      </c>
      <c r="T94" s="39" t="s">
        <v>388</v>
      </c>
      <c r="U94" s="40">
        <v>2301.87</v>
      </c>
      <c r="V94" s="40">
        <v>2301.87</v>
      </c>
      <c r="W94" s="40">
        <v>0</v>
      </c>
      <c r="X94" s="44"/>
      <c r="Y94" s="44"/>
      <c r="Z94" s="45"/>
      <c r="AA94" s="44"/>
      <c r="AB94" s="44"/>
      <c r="AC94" s="53" t="s">
        <v>117</v>
      </c>
      <c r="AD94" s="1"/>
    </row>
    <row r="95" spans="6:30" x14ac:dyDescent="0.2">
      <c r="F95" s="1"/>
      <c r="G95" s="5"/>
      <c r="H95" s="24" t="s">
        <v>55</v>
      </c>
      <c r="I95" s="24" t="s">
        <v>16</v>
      </c>
      <c r="J95" s="23">
        <v>0</v>
      </c>
      <c r="K95" s="25">
        <v>262.25</v>
      </c>
      <c r="L95" s="25">
        <f t="shared" ca="1" si="3"/>
        <v>0</v>
      </c>
      <c r="M95" s="25"/>
      <c r="N95" s="35">
        <f t="shared" ca="1" si="4"/>
        <v>0</v>
      </c>
      <c r="O95" s="26" t="s">
        <v>117</v>
      </c>
      <c r="P95" s="1"/>
      <c r="Q95" s="5"/>
      <c r="R95" s="41">
        <v>54958</v>
      </c>
      <c r="S95" s="41">
        <v>2</v>
      </c>
      <c r="T95" s="39" t="s">
        <v>388</v>
      </c>
      <c r="U95" s="40">
        <v>12</v>
      </c>
      <c r="V95" s="40">
        <v>12</v>
      </c>
      <c r="W95" s="40">
        <v>0</v>
      </c>
      <c r="X95" s="44"/>
      <c r="Y95" s="44"/>
      <c r="Z95" s="45"/>
      <c r="AA95" s="44"/>
      <c r="AB95" s="44"/>
      <c r="AC95" s="53" t="s">
        <v>117</v>
      </c>
      <c r="AD95" s="1"/>
    </row>
    <row r="96" spans="6:30" x14ac:dyDescent="0.2">
      <c r="F96" s="1"/>
      <c r="G96" s="5"/>
      <c r="H96" s="24" t="s">
        <v>56</v>
      </c>
      <c r="I96" s="24" t="s">
        <v>16</v>
      </c>
      <c r="J96" s="23">
        <v>0</v>
      </c>
      <c r="K96" s="25">
        <v>952.72</v>
      </c>
      <c r="L96" s="25">
        <f t="shared" ca="1" si="3"/>
        <v>0</v>
      </c>
      <c r="M96" s="25"/>
      <c r="N96" s="35">
        <f t="shared" ca="1" si="4"/>
        <v>0</v>
      </c>
      <c r="O96" s="26" t="s">
        <v>117</v>
      </c>
      <c r="P96" s="1"/>
      <c r="Q96" s="5"/>
      <c r="R96" s="41">
        <v>54960</v>
      </c>
      <c r="S96" s="41">
        <v>3</v>
      </c>
      <c r="T96" s="39" t="s">
        <v>388</v>
      </c>
      <c r="U96" s="40">
        <v>91.04</v>
      </c>
      <c r="V96" s="40">
        <v>91.04</v>
      </c>
      <c r="W96" s="40">
        <v>0</v>
      </c>
      <c r="X96" s="44"/>
      <c r="Y96" s="44"/>
      <c r="Z96" s="45"/>
      <c r="AA96" s="44"/>
      <c r="AB96" s="44"/>
      <c r="AC96" s="53" t="s">
        <v>117</v>
      </c>
      <c r="AD96" s="1"/>
    </row>
    <row r="97" spans="6:30" x14ac:dyDescent="0.2">
      <c r="F97" s="1"/>
      <c r="G97" s="5"/>
      <c r="H97" s="24" t="s">
        <v>57</v>
      </c>
      <c r="I97" s="24" t="s">
        <v>16</v>
      </c>
      <c r="J97" s="23">
        <v>0</v>
      </c>
      <c r="K97" s="25">
        <v>291.77999999999997</v>
      </c>
      <c r="L97" s="25">
        <f t="shared" ca="1" si="3"/>
        <v>0</v>
      </c>
      <c r="M97" s="25"/>
      <c r="N97" s="35">
        <f t="shared" ca="1" si="4"/>
        <v>0</v>
      </c>
      <c r="O97" s="26" t="s">
        <v>117</v>
      </c>
      <c r="P97" s="1"/>
      <c r="Q97" s="5"/>
      <c r="R97" s="41">
        <v>54962</v>
      </c>
      <c r="S97" s="41">
        <v>3</v>
      </c>
      <c r="T97" s="39" t="s">
        <v>388</v>
      </c>
      <c r="U97" s="40">
        <v>2280</v>
      </c>
      <c r="V97" s="40">
        <v>2280</v>
      </c>
      <c r="W97" s="40">
        <v>0</v>
      </c>
      <c r="X97" s="44"/>
      <c r="Y97" s="44"/>
      <c r="Z97" s="45"/>
      <c r="AA97" s="44"/>
      <c r="AB97" s="44"/>
      <c r="AC97" s="53" t="s">
        <v>117</v>
      </c>
      <c r="AD97" s="1"/>
    </row>
    <row r="98" spans="6:30" x14ac:dyDescent="0.2">
      <c r="F98" s="1"/>
      <c r="G98" s="5"/>
      <c r="H98" s="24" t="s">
        <v>58</v>
      </c>
      <c r="I98" s="24" t="s">
        <v>16</v>
      </c>
      <c r="J98" s="23">
        <v>0</v>
      </c>
      <c r="K98" s="25">
        <v>272.26</v>
      </c>
      <c r="L98" s="25">
        <f t="shared" ca="1" si="3"/>
        <v>0</v>
      </c>
      <c r="M98" s="25"/>
      <c r="N98" s="35">
        <f t="shared" ca="1" si="4"/>
        <v>0</v>
      </c>
      <c r="O98" s="26" t="s">
        <v>117</v>
      </c>
      <c r="P98" s="1"/>
      <c r="Q98" s="5"/>
      <c r="R98" s="41">
        <v>54966</v>
      </c>
      <c r="S98" s="41">
        <v>1</v>
      </c>
      <c r="T98" s="39" t="s">
        <v>388</v>
      </c>
      <c r="U98" s="40">
        <v>24.05</v>
      </c>
      <c r="V98" s="40">
        <v>24.05</v>
      </c>
      <c r="W98" s="40">
        <v>0</v>
      </c>
      <c r="X98" s="44"/>
      <c r="Y98" s="44"/>
      <c r="Z98" s="45"/>
      <c r="AA98" s="44"/>
      <c r="AB98" s="44"/>
      <c r="AC98" s="53" t="s">
        <v>117</v>
      </c>
      <c r="AD98" s="1"/>
    </row>
    <row r="99" spans="6:30" x14ac:dyDescent="0.2">
      <c r="F99" s="1"/>
      <c r="G99" s="5"/>
      <c r="H99" s="24" t="s">
        <v>59</v>
      </c>
      <c r="I99" s="24" t="s">
        <v>16</v>
      </c>
      <c r="J99" s="23">
        <v>0</v>
      </c>
      <c r="K99" s="25">
        <v>267.83</v>
      </c>
      <c r="L99" s="25">
        <f t="shared" ca="1" si="3"/>
        <v>0</v>
      </c>
      <c r="M99" s="25"/>
      <c r="N99" s="35">
        <f t="shared" ca="1" si="4"/>
        <v>0</v>
      </c>
      <c r="O99" s="26" t="s">
        <v>117</v>
      </c>
      <c r="P99" s="1"/>
      <c r="Q99" s="5"/>
      <c r="R99" s="41">
        <v>54967</v>
      </c>
      <c r="S99" s="41">
        <v>3</v>
      </c>
      <c r="T99" s="39" t="s">
        <v>388</v>
      </c>
      <c r="U99" s="40">
        <v>60.39</v>
      </c>
      <c r="V99" s="40">
        <v>60.39</v>
      </c>
      <c r="W99" s="40">
        <v>0</v>
      </c>
      <c r="X99" s="44"/>
      <c r="Y99" s="44"/>
      <c r="Z99" s="45"/>
      <c r="AA99" s="44"/>
      <c r="AB99" s="44"/>
      <c r="AC99" s="53" t="s">
        <v>117</v>
      </c>
      <c r="AD99" s="1"/>
    </row>
    <row r="100" spans="6:30" x14ac:dyDescent="0.2">
      <c r="F100" s="1"/>
      <c r="G100" s="5"/>
      <c r="H100" s="24" t="s">
        <v>66</v>
      </c>
      <c r="I100" s="24" t="s">
        <v>16</v>
      </c>
      <c r="J100" s="23">
        <v>0</v>
      </c>
      <c r="K100" s="25">
        <v>5912.51</v>
      </c>
      <c r="L100" s="25">
        <f t="shared" ca="1" si="3"/>
        <v>0</v>
      </c>
      <c r="M100" s="25"/>
      <c r="N100" s="35">
        <f t="shared" ca="1" si="4"/>
        <v>0</v>
      </c>
      <c r="O100" s="26" t="s">
        <v>117</v>
      </c>
      <c r="P100" s="1"/>
      <c r="Q100" s="5"/>
      <c r="R100" s="41">
        <v>54968</v>
      </c>
      <c r="S100" s="41">
        <v>1</v>
      </c>
      <c r="T100" s="39" t="s">
        <v>388</v>
      </c>
      <c r="U100" s="40">
        <v>124.27</v>
      </c>
      <c r="V100" s="40">
        <v>124.27</v>
      </c>
      <c r="W100" s="40">
        <v>0</v>
      </c>
      <c r="X100" s="44"/>
      <c r="Y100" s="44"/>
      <c r="Z100" s="45"/>
      <c r="AA100" s="44"/>
      <c r="AB100" s="44"/>
      <c r="AC100" s="53" t="s">
        <v>117</v>
      </c>
      <c r="AD100" s="1"/>
    </row>
    <row r="101" spans="6:30" x14ac:dyDescent="0.2">
      <c r="F101" s="1"/>
      <c r="G101" s="5"/>
      <c r="H101" s="24" t="s">
        <v>67</v>
      </c>
      <c r="I101" s="24" t="s">
        <v>16</v>
      </c>
      <c r="J101" s="23">
        <v>0</v>
      </c>
      <c r="K101" s="25">
        <v>11825.03</v>
      </c>
      <c r="L101" s="25">
        <f t="shared" ca="1" si="3"/>
        <v>0</v>
      </c>
      <c r="M101" s="25"/>
      <c r="N101" s="35">
        <f t="shared" ca="1" si="4"/>
        <v>0</v>
      </c>
      <c r="O101" s="26" t="s">
        <v>117</v>
      </c>
      <c r="P101" s="1"/>
      <c r="Q101" s="5"/>
      <c r="R101" s="41">
        <v>54969</v>
      </c>
      <c r="S101" s="41">
        <v>3</v>
      </c>
      <c r="T101" s="39" t="s">
        <v>388</v>
      </c>
      <c r="U101" s="40">
        <v>42.27</v>
      </c>
      <c r="V101" s="40">
        <v>42.27</v>
      </c>
      <c r="W101" s="40">
        <v>0</v>
      </c>
      <c r="X101" s="44"/>
      <c r="Y101" s="44"/>
      <c r="Z101" s="45"/>
      <c r="AA101" s="44"/>
      <c r="AB101" s="44"/>
      <c r="AC101" s="53" t="s">
        <v>117</v>
      </c>
      <c r="AD101" s="1"/>
    </row>
    <row r="102" spans="6:30" x14ac:dyDescent="0.2">
      <c r="F102" s="1"/>
      <c r="G102" s="5"/>
      <c r="H102" s="24" t="s">
        <v>68</v>
      </c>
      <c r="I102" s="24" t="s">
        <v>16</v>
      </c>
      <c r="J102" s="23">
        <v>0</v>
      </c>
      <c r="K102" s="25">
        <v>2352974.6800000002</v>
      </c>
      <c r="L102" s="25">
        <f t="shared" ca="1" si="3"/>
        <v>0</v>
      </c>
      <c r="M102" s="25"/>
      <c r="N102" s="35">
        <f t="shared" ca="1" si="4"/>
        <v>0</v>
      </c>
      <c r="O102" s="26" t="s">
        <v>117</v>
      </c>
      <c r="P102" s="1"/>
      <c r="Q102" s="5"/>
      <c r="R102" s="41">
        <v>54971</v>
      </c>
      <c r="S102" s="41">
        <v>2</v>
      </c>
      <c r="T102" s="39" t="s">
        <v>388</v>
      </c>
      <c r="U102" s="40">
        <v>60</v>
      </c>
      <c r="V102" s="40">
        <v>60</v>
      </c>
      <c r="W102" s="40">
        <v>0</v>
      </c>
      <c r="X102" s="44"/>
      <c r="Y102" s="44"/>
      <c r="Z102" s="45"/>
      <c r="AA102" s="44"/>
      <c r="AB102" s="44"/>
      <c r="AC102" s="53" t="s">
        <v>117</v>
      </c>
      <c r="AD102" s="1"/>
    </row>
    <row r="103" spans="6:30" x14ac:dyDescent="0.2">
      <c r="F103" s="1"/>
      <c r="G103" s="5"/>
      <c r="H103" s="24" t="s">
        <v>69</v>
      </c>
      <c r="I103" s="24" t="s">
        <v>16</v>
      </c>
      <c r="J103" s="23">
        <v>0</v>
      </c>
      <c r="K103" s="25">
        <v>1176487.3400000001</v>
      </c>
      <c r="L103" s="25">
        <f t="shared" ca="1" si="3"/>
        <v>0</v>
      </c>
      <c r="M103" s="25"/>
      <c r="N103" s="35">
        <f t="shared" ca="1" si="4"/>
        <v>0</v>
      </c>
      <c r="O103" s="26" t="s">
        <v>117</v>
      </c>
      <c r="P103" s="1"/>
      <c r="Q103" s="5"/>
      <c r="R103" s="41">
        <v>54972</v>
      </c>
      <c r="S103" s="41">
        <v>2</v>
      </c>
      <c r="T103" s="39" t="s">
        <v>388</v>
      </c>
      <c r="U103" s="40">
        <v>16.68</v>
      </c>
      <c r="V103" s="40">
        <v>16.68</v>
      </c>
      <c r="W103" s="40">
        <v>0</v>
      </c>
      <c r="X103" s="44"/>
      <c r="Y103" s="44"/>
      <c r="Z103" s="45"/>
      <c r="AA103" s="44"/>
      <c r="AB103" s="44"/>
      <c r="AC103" s="53" t="s">
        <v>117</v>
      </c>
      <c r="AD103" s="1"/>
    </row>
    <row r="104" spans="6:30" x14ac:dyDescent="0.2">
      <c r="F104" s="1"/>
      <c r="G104" s="5"/>
      <c r="H104" s="24" t="s">
        <v>189</v>
      </c>
      <c r="I104" s="24" t="s">
        <v>16</v>
      </c>
      <c r="J104" s="23">
        <v>0</v>
      </c>
      <c r="K104" s="25">
        <v>6900</v>
      </c>
      <c r="L104" s="25">
        <f t="shared" ca="1" si="3"/>
        <v>0</v>
      </c>
      <c r="M104" s="25"/>
      <c r="N104" s="35">
        <f t="shared" ca="1" si="4"/>
        <v>0</v>
      </c>
      <c r="O104" s="26" t="s">
        <v>117</v>
      </c>
      <c r="P104" s="1"/>
      <c r="Q104" s="5"/>
      <c r="R104" s="41">
        <v>54973</v>
      </c>
      <c r="S104" s="41">
        <v>2</v>
      </c>
      <c r="T104" s="39" t="s">
        <v>388</v>
      </c>
      <c r="U104" s="40">
        <v>41.97</v>
      </c>
      <c r="V104" s="40">
        <v>41.97</v>
      </c>
      <c r="W104" s="40">
        <v>0</v>
      </c>
      <c r="X104" s="44"/>
      <c r="Y104" s="44"/>
      <c r="Z104" s="45"/>
      <c r="AA104" s="44"/>
      <c r="AB104" s="44"/>
      <c r="AC104" s="53" t="s">
        <v>117</v>
      </c>
      <c r="AD104" s="1"/>
    </row>
    <row r="105" spans="6:30" x14ac:dyDescent="0.2">
      <c r="F105" s="1"/>
      <c r="G105" s="5"/>
      <c r="H105" s="24" t="s">
        <v>73</v>
      </c>
      <c r="I105" s="24" t="s">
        <v>16</v>
      </c>
      <c r="J105" s="23">
        <v>0</v>
      </c>
      <c r="K105" s="25">
        <v>22</v>
      </c>
      <c r="L105" s="25">
        <f t="shared" ca="1" si="3"/>
        <v>0</v>
      </c>
      <c r="M105" s="25"/>
      <c r="N105" s="35">
        <f t="shared" ca="1" si="4"/>
        <v>0</v>
      </c>
      <c r="O105" s="26" t="s">
        <v>117</v>
      </c>
      <c r="P105" s="1"/>
      <c r="Q105" s="5"/>
      <c r="R105" s="41">
        <v>54975</v>
      </c>
      <c r="S105" s="41">
        <v>2</v>
      </c>
      <c r="T105" s="39" t="s">
        <v>388</v>
      </c>
      <c r="U105" s="40">
        <v>160.4</v>
      </c>
      <c r="V105" s="40">
        <v>160.4</v>
      </c>
      <c r="W105" s="40">
        <v>0</v>
      </c>
      <c r="X105" s="44"/>
      <c r="Y105" s="44"/>
      <c r="Z105" s="45"/>
      <c r="AA105" s="44"/>
      <c r="AB105" s="44"/>
      <c r="AC105" s="53" t="s">
        <v>117</v>
      </c>
      <c r="AD105" s="1"/>
    </row>
    <row r="106" spans="6:30" x14ac:dyDescent="0.2">
      <c r="F106" s="1"/>
      <c r="G106" s="5"/>
      <c r="H106" s="24" t="s">
        <v>76</v>
      </c>
      <c r="I106" s="24" t="s">
        <v>16</v>
      </c>
      <c r="J106" s="23">
        <v>0</v>
      </c>
      <c r="K106" s="25">
        <v>1967.31</v>
      </c>
      <c r="L106" s="25">
        <f t="shared" ca="1" si="3"/>
        <v>0</v>
      </c>
      <c r="M106" s="25"/>
      <c r="N106" s="35">
        <f t="shared" ca="1" si="4"/>
        <v>0</v>
      </c>
      <c r="O106" s="26" t="s">
        <v>117</v>
      </c>
      <c r="P106" s="1"/>
      <c r="Q106" s="5"/>
      <c r="R106" s="41">
        <v>54975</v>
      </c>
      <c r="S106" s="41">
        <v>3</v>
      </c>
      <c r="T106" s="39" t="s">
        <v>388</v>
      </c>
      <c r="U106" s="40">
        <v>178</v>
      </c>
      <c r="V106" s="40">
        <v>178</v>
      </c>
      <c r="W106" s="40">
        <v>0</v>
      </c>
      <c r="X106" s="44"/>
      <c r="Y106" s="44"/>
      <c r="Z106" s="45"/>
      <c r="AA106" s="44"/>
      <c r="AB106" s="44"/>
      <c r="AC106" s="53" t="s">
        <v>117</v>
      </c>
      <c r="AD106" s="1"/>
    </row>
    <row r="107" spans="6:30" x14ac:dyDescent="0.2">
      <c r="F107" s="1"/>
      <c r="G107" s="5"/>
      <c r="H107" s="24" t="s">
        <v>78</v>
      </c>
      <c r="I107" s="24" t="s">
        <v>16</v>
      </c>
      <c r="J107" s="23">
        <v>0</v>
      </c>
      <c r="K107" s="25">
        <v>276.44</v>
      </c>
      <c r="L107" s="25">
        <f t="shared" ca="1" si="3"/>
        <v>0</v>
      </c>
      <c r="M107" s="25"/>
      <c r="N107" s="35">
        <f t="shared" ca="1" si="4"/>
        <v>0</v>
      </c>
      <c r="O107" s="26" t="s">
        <v>117</v>
      </c>
      <c r="P107" s="1"/>
      <c r="Q107" s="5"/>
      <c r="R107" s="41">
        <v>54975</v>
      </c>
      <c r="S107" s="41">
        <v>6</v>
      </c>
      <c r="T107" s="39" t="s">
        <v>388</v>
      </c>
      <c r="U107" s="40">
        <v>178</v>
      </c>
      <c r="V107" s="40">
        <v>178</v>
      </c>
      <c r="W107" s="40">
        <v>0</v>
      </c>
      <c r="X107" s="44"/>
      <c r="Y107" s="44"/>
      <c r="Z107" s="45"/>
      <c r="AA107" s="44"/>
      <c r="AB107" s="44"/>
      <c r="AC107" s="53" t="s">
        <v>117</v>
      </c>
      <c r="AD107" s="1"/>
    </row>
    <row r="108" spans="6:30" x14ac:dyDescent="0.2">
      <c r="F108" s="1"/>
      <c r="G108" s="5"/>
      <c r="H108" s="24" t="s">
        <v>88</v>
      </c>
      <c r="I108" s="24" t="s">
        <v>16</v>
      </c>
      <c r="J108" s="23">
        <v>0</v>
      </c>
      <c r="K108" s="25">
        <v>204.74</v>
      </c>
      <c r="L108" s="25">
        <f t="shared" ca="1" si="3"/>
        <v>0</v>
      </c>
      <c r="M108" s="25"/>
      <c r="N108" s="35">
        <f t="shared" ca="1" si="4"/>
        <v>0</v>
      </c>
      <c r="O108" s="26" t="s">
        <v>117</v>
      </c>
      <c r="P108" s="1"/>
      <c r="Q108" s="5"/>
      <c r="R108" s="41">
        <v>54975</v>
      </c>
      <c r="S108" s="41">
        <v>17</v>
      </c>
      <c r="T108" s="39" t="s">
        <v>388</v>
      </c>
      <c r="U108" s="40">
        <v>142.4</v>
      </c>
      <c r="V108" s="40">
        <v>142.4</v>
      </c>
      <c r="W108" s="40">
        <v>0</v>
      </c>
      <c r="X108" s="44"/>
      <c r="Y108" s="44"/>
      <c r="Z108" s="45"/>
      <c r="AA108" s="44"/>
      <c r="AB108" s="44"/>
      <c r="AC108" s="53" t="s">
        <v>117</v>
      </c>
      <c r="AD108" s="1"/>
    </row>
    <row r="109" spans="6:30" x14ac:dyDescent="0.2">
      <c r="F109" s="1"/>
      <c r="G109" s="5"/>
      <c r="H109" s="24" t="s">
        <v>89</v>
      </c>
      <c r="I109" s="24" t="s">
        <v>16</v>
      </c>
      <c r="J109" s="23">
        <v>0</v>
      </c>
      <c r="K109" s="25">
        <v>184.74</v>
      </c>
      <c r="L109" s="25">
        <f t="shared" ca="1" si="3"/>
        <v>0</v>
      </c>
      <c r="M109" s="25"/>
      <c r="N109" s="35">
        <f t="shared" ca="1" si="4"/>
        <v>0</v>
      </c>
      <c r="O109" s="26" t="s">
        <v>117</v>
      </c>
      <c r="P109" s="1"/>
      <c r="Q109" s="5"/>
      <c r="R109" s="41">
        <v>54975</v>
      </c>
      <c r="S109" s="41">
        <v>18</v>
      </c>
      <c r="T109" s="39" t="s">
        <v>388</v>
      </c>
      <c r="U109" s="40">
        <v>107</v>
      </c>
      <c r="V109" s="40">
        <v>107</v>
      </c>
      <c r="W109" s="40">
        <v>0</v>
      </c>
      <c r="X109" s="44"/>
      <c r="Y109" s="44"/>
      <c r="Z109" s="45"/>
      <c r="AA109" s="44"/>
      <c r="AB109" s="44"/>
      <c r="AC109" s="53" t="s">
        <v>117</v>
      </c>
      <c r="AD109" s="1"/>
    </row>
    <row r="110" spans="6:30" x14ac:dyDescent="0.2">
      <c r="F110" s="1"/>
      <c r="G110" s="5"/>
      <c r="H110" s="24" t="s">
        <v>90</v>
      </c>
      <c r="I110" s="24" t="s">
        <v>16</v>
      </c>
      <c r="J110" s="23">
        <v>0</v>
      </c>
      <c r="K110" s="25">
        <v>111.86</v>
      </c>
      <c r="L110" s="25">
        <f t="shared" ca="1" si="3"/>
        <v>0</v>
      </c>
      <c r="M110" s="25"/>
      <c r="N110" s="35">
        <f t="shared" ca="1" si="4"/>
        <v>0</v>
      </c>
      <c r="O110" s="26" t="s">
        <v>117</v>
      </c>
      <c r="P110" s="1"/>
      <c r="Q110" s="5"/>
      <c r="R110" s="41">
        <v>54975</v>
      </c>
      <c r="S110" s="41">
        <v>21</v>
      </c>
      <c r="T110" s="39" t="s">
        <v>388</v>
      </c>
      <c r="U110" s="40">
        <v>178</v>
      </c>
      <c r="V110" s="40">
        <v>178</v>
      </c>
      <c r="W110" s="40">
        <v>0</v>
      </c>
      <c r="X110" s="44"/>
      <c r="Y110" s="44"/>
      <c r="Z110" s="45"/>
      <c r="AA110" s="44"/>
      <c r="AB110" s="44"/>
      <c r="AC110" s="53" t="s">
        <v>117</v>
      </c>
      <c r="AD110" s="1"/>
    </row>
    <row r="111" spans="6:30" x14ac:dyDescent="0.2">
      <c r="F111" s="1"/>
      <c r="G111" s="5"/>
      <c r="H111" s="24" t="s">
        <v>92</v>
      </c>
      <c r="I111" s="24" t="s">
        <v>16</v>
      </c>
      <c r="J111" s="23">
        <v>0</v>
      </c>
      <c r="K111" s="25">
        <v>197.47</v>
      </c>
      <c r="L111" s="25">
        <f t="shared" ca="1" si="3"/>
        <v>0</v>
      </c>
      <c r="M111" s="25"/>
      <c r="N111" s="35">
        <f t="shared" ca="1" si="4"/>
        <v>0</v>
      </c>
      <c r="O111" s="26" t="s">
        <v>117</v>
      </c>
      <c r="P111" s="1"/>
      <c r="Q111" s="5"/>
      <c r="R111" s="41">
        <v>54975</v>
      </c>
      <c r="S111" s="41">
        <v>22</v>
      </c>
      <c r="T111" s="39" t="s">
        <v>388</v>
      </c>
      <c r="U111" s="40">
        <v>107</v>
      </c>
      <c r="V111" s="40">
        <v>107</v>
      </c>
      <c r="W111" s="40">
        <v>0</v>
      </c>
      <c r="X111" s="44"/>
      <c r="Y111" s="44"/>
      <c r="Z111" s="45"/>
      <c r="AA111" s="44"/>
      <c r="AB111" s="44"/>
      <c r="AC111" s="53" t="s">
        <v>117</v>
      </c>
      <c r="AD111" s="1"/>
    </row>
    <row r="112" spans="6:30" x14ac:dyDescent="0.2">
      <c r="F112" s="1"/>
      <c r="G112" s="5"/>
      <c r="H112" s="24" t="s">
        <v>93</v>
      </c>
      <c r="I112" s="24" t="s">
        <v>16</v>
      </c>
      <c r="J112" s="23">
        <v>0</v>
      </c>
      <c r="K112" s="25">
        <v>218.74</v>
      </c>
      <c r="L112" s="25">
        <f t="shared" ca="1" si="3"/>
        <v>0</v>
      </c>
      <c r="M112" s="25"/>
      <c r="N112" s="35">
        <f t="shared" ca="1" si="4"/>
        <v>0</v>
      </c>
      <c r="O112" s="26" t="s">
        <v>117</v>
      </c>
      <c r="P112" s="1"/>
      <c r="Q112" s="5"/>
      <c r="R112" s="41">
        <v>54975</v>
      </c>
      <c r="S112" s="41">
        <v>25</v>
      </c>
      <c r="T112" s="39" t="s">
        <v>388</v>
      </c>
      <c r="U112" s="40">
        <v>142.4</v>
      </c>
      <c r="V112" s="40">
        <v>142.4</v>
      </c>
      <c r="W112" s="40">
        <v>0</v>
      </c>
      <c r="X112" s="44"/>
      <c r="Y112" s="44"/>
      <c r="Z112" s="45"/>
      <c r="AA112" s="44"/>
      <c r="AB112" s="44"/>
      <c r="AC112" s="53" t="s">
        <v>117</v>
      </c>
      <c r="AD112" s="1"/>
    </row>
    <row r="113" spans="6:30" x14ac:dyDescent="0.2">
      <c r="F113" s="1"/>
      <c r="G113" s="5"/>
      <c r="H113" s="24" t="s">
        <v>99</v>
      </c>
      <c r="I113" s="24" t="s">
        <v>16</v>
      </c>
      <c r="J113" s="23">
        <v>0</v>
      </c>
      <c r="K113" s="25">
        <v>17.170000000000002</v>
      </c>
      <c r="L113" s="25">
        <f t="shared" ca="1" si="3"/>
        <v>0</v>
      </c>
      <c r="M113" s="25"/>
      <c r="N113" s="35">
        <f t="shared" ca="1" si="4"/>
        <v>0</v>
      </c>
      <c r="O113" s="26" t="s">
        <v>117</v>
      </c>
      <c r="P113" s="1"/>
      <c r="Q113" s="5"/>
      <c r="R113" s="41">
        <v>54975</v>
      </c>
      <c r="S113" s="41">
        <v>26</v>
      </c>
      <c r="T113" s="39" t="s">
        <v>388</v>
      </c>
      <c r="U113" s="40">
        <v>106.8</v>
      </c>
      <c r="V113" s="40">
        <v>106.8</v>
      </c>
      <c r="W113" s="40">
        <v>0</v>
      </c>
      <c r="X113" s="44"/>
      <c r="Y113" s="44"/>
      <c r="Z113" s="45"/>
      <c r="AA113" s="44"/>
      <c r="AB113" s="44"/>
      <c r="AC113" s="53" t="s">
        <v>117</v>
      </c>
      <c r="AD113" s="1"/>
    </row>
    <row r="114" spans="6:30" x14ac:dyDescent="0.2">
      <c r="F114" s="1"/>
      <c r="G114" s="5"/>
      <c r="H114" s="24" t="s">
        <v>190</v>
      </c>
      <c r="I114" s="24" t="s">
        <v>16</v>
      </c>
      <c r="J114" s="23">
        <v>0</v>
      </c>
      <c r="K114" s="25">
        <v>85.83</v>
      </c>
      <c r="L114" s="25">
        <f t="shared" ca="1" si="3"/>
        <v>0</v>
      </c>
      <c r="M114" s="25"/>
      <c r="N114" s="35">
        <f t="shared" ca="1" si="4"/>
        <v>0</v>
      </c>
      <c r="O114" s="26" t="s">
        <v>117</v>
      </c>
      <c r="P114" s="1"/>
      <c r="Q114" s="5"/>
      <c r="R114" s="41">
        <v>54976</v>
      </c>
      <c r="S114" s="41">
        <v>2</v>
      </c>
      <c r="T114" s="39" t="s">
        <v>388</v>
      </c>
      <c r="U114" s="40">
        <v>7.46</v>
      </c>
      <c r="V114" s="40">
        <v>7.46</v>
      </c>
      <c r="W114" s="40">
        <v>0</v>
      </c>
      <c r="X114" s="44"/>
      <c r="Y114" s="44"/>
      <c r="Z114" s="45"/>
      <c r="AA114" s="44"/>
      <c r="AB114" s="44"/>
      <c r="AC114" s="53" t="s">
        <v>117</v>
      </c>
      <c r="AD114" s="1"/>
    </row>
    <row r="115" spans="6:30" x14ac:dyDescent="0.2">
      <c r="F115" s="1"/>
      <c r="G115" s="5"/>
      <c r="H115" s="24" t="s">
        <v>191</v>
      </c>
      <c r="I115" s="24" t="s">
        <v>16</v>
      </c>
      <c r="J115" s="23">
        <v>0</v>
      </c>
      <c r="K115" s="25">
        <v>388.34</v>
      </c>
      <c r="L115" s="25">
        <f t="shared" ca="1" si="3"/>
        <v>0</v>
      </c>
      <c r="M115" s="25"/>
      <c r="N115" s="35">
        <f t="shared" ca="1" si="4"/>
        <v>0</v>
      </c>
      <c r="O115" s="26" t="s">
        <v>117</v>
      </c>
      <c r="P115" s="1"/>
      <c r="Q115" s="5"/>
      <c r="R115" s="41">
        <v>54977</v>
      </c>
      <c r="S115" s="41">
        <v>2</v>
      </c>
      <c r="T115" s="39" t="s">
        <v>388</v>
      </c>
      <c r="U115" s="40">
        <v>12.27</v>
      </c>
      <c r="V115" s="40">
        <v>12.27</v>
      </c>
      <c r="W115" s="40">
        <v>0</v>
      </c>
      <c r="X115" s="44"/>
      <c r="Y115" s="44"/>
      <c r="Z115" s="45"/>
      <c r="AA115" s="44"/>
      <c r="AB115" s="44"/>
      <c r="AC115" s="53" t="s">
        <v>117</v>
      </c>
      <c r="AD115" s="1"/>
    </row>
    <row r="116" spans="6:30" x14ac:dyDescent="0.2">
      <c r="F116" s="1"/>
      <c r="G116" s="5"/>
      <c r="H116" s="24" t="s">
        <v>192</v>
      </c>
      <c r="I116" s="24" t="s">
        <v>16</v>
      </c>
      <c r="J116" s="23">
        <v>0</v>
      </c>
      <c r="K116" s="25">
        <v>388.34</v>
      </c>
      <c r="L116" s="25">
        <f t="shared" ref="L116:L119" ca="1" si="5">ROUND(J116*K116,2)</f>
        <v>0</v>
      </c>
      <c r="M116" s="25"/>
      <c r="N116" s="35">
        <f t="shared" ca="1" si="4"/>
        <v>0</v>
      </c>
      <c r="O116" s="26" t="s">
        <v>117</v>
      </c>
      <c r="P116" s="1"/>
      <c r="Q116" s="5"/>
      <c r="R116" s="41">
        <v>54978</v>
      </c>
      <c r="S116" s="41">
        <v>2</v>
      </c>
      <c r="T116" s="39" t="s">
        <v>388</v>
      </c>
      <c r="U116" s="40">
        <v>1080</v>
      </c>
      <c r="V116" s="40">
        <v>1080</v>
      </c>
      <c r="W116" s="40">
        <v>0</v>
      </c>
      <c r="X116" s="44"/>
      <c r="Y116" s="44"/>
      <c r="Z116" s="45"/>
      <c r="AA116" s="44"/>
      <c r="AB116" s="44"/>
      <c r="AC116" s="53" t="s">
        <v>117</v>
      </c>
      <c r="AD116" s="1"/>
    </row>
    <row r="117" spans="6:30" x14ac:dyDescent="0.2">
      <c r="F117" s="1"/>
      <c r="G117" s="5"/>
      <c r="H117" s="24" t="s">
        <v>104</v>
      </c>
      <c r="I117" s="24" t="s">
        <v>16</v>
      </c>
      <c r="J117" s="23">
        <v>0</v>
      </c>
      <c r="K117" s="25">
        <v>53842.12</v>
      </c>
      <c r="L117" s="25">
        <f t="shared" ca="1" si="5"/>
        <v>0</v>
      </c>
      <c r="M117" s="25"/>
      <c r="N117" s="35">
        <f t="shared" ca="1" si="4"/>
        <v>0</v>
      </c>
      <c r="O117" s="26" t="s">
        <v>117</v>
      </c>
      <c r="P117" s="1"/>
      <c r="Q117" s="5"/>
      <c r="R117" s="41">
        <v>54982</v>
      </c>
      <c r="S117" s="41">
        <v>2</v>
      </c>
      <c r="T117" s="39" t="s">
        <v>388</v>
      </c>
      <c r="U117" s="40">
        <v>15.7</v>
      </c>
      <c r="V117" s="40">
        <v>15.7</v>
      </c>
      <c r="W117" s="40">
        <v>0</v>
      </c>
      <c r="X117" s="44"/>
      <c r="Y117" s="44"/>
      <c r="Z117" s="45"/>
      <c r="AA117" s="44"/>
      <c r="AB117" s="44"/>
      <c r="AC117" s="53" t="s">
        <v>117</v>
      </c>
      <c r="AD117" s="1"/>
    </row>
    <row r="118" spans="6:30" x14ac:dyDescent="0.2">
      <c r="F118" s="1"/>
      <c r="G118" s="5"/>
      <c r="H118" s="24" t="s">
        <v>105</v>
      </c>
      <c r="I118" s="24" t="s">
        <v>16</v>
      </c>
      <c r="J118" s="23">
        <v>0</v>
      </c>
      <c r="K118" s="25">
        <v>51397.71</v>
      </c>
      <c r="L118" s="25">
        <f t="shared" ca="1" si="5"/>
        <v>0</v>
      </c>
      <c r="M118" s="25"/>
      <c r="N118" s="35">
        <f t="shared" ca="1" si="4"/>
        <v>0</v>
      </c>
      <c r="O118" s="26" t="s">
        <v>117</v>
      </c>
      <c r="P118" s="1"/>
      <c r="Q118" s="5"/>
      <c r="R118" s="41">
        <v>54986</v>
      </c>
      <c r="S118" s="41">
        <v>2</v>
      </c>
      <c r="T118" s="39" t="s">
        <v>388</v>
      </c>
      <c r="U118" s="40">
        <v>1122</v>
      </c>
      <c r="V118" s="40">
        <v>1122</v>
      </c>
      <c r="W118" s="40">
        <v>0</v>
      </c>
      <c r="X118" s="44"/>
      <c r="Y118" s="44"/>
      <c r="Z118" s="45"/>
      <c r="AA118" s="44"/>
      <c r="AB118" s="44"/>
      <c r="AC118" s="53" t="s">
        <v>117</v>
      </c>
      <c r="AD118" s="1"/>
    </row>
    <row r="119" spans="6:30" x14ac:dyDescent="0.2">
      <c r="F119" s="1"/>
      <c r="G119" s="5"/>
      <c r="H119" s="24" t="s">
        <v>112</v>
      </c>
      <c r="I119" s="24" t="s">
        <v>16</v>
      </c>
      <c r="J119" s="23">
        <v>0</v>
      </c>
      <c r="K119" s="25">
        <v>19800</v>
      </c>
      <c r="L119" s="25">
        <f t="shared" ca="1" si="5"/>
        <v>0</v>
      </c>
      <c r="M119" s="25"/>
      <c r="N119" s="35">
        <f t="shared" ca="1" si="4"/>
        <v>0</v>
      </c>
      <c r="O119" s="26" t="s">
        <v>117</v>
      </c>
      <c r="P119" s="1"/>
      <c r="Q119" s="5"/>
      <c r="R119" s="41">
        <v>54997</v>
      </c>
      <c r="S119" s="41">
        <v>2</v>
      </c>
      <c r="T119" s="39" t="s">
        <v>388</v>
      </c>
      <c r="U119" s="40">
        <v>31.11</v>
      </c>
      <c r="V119" s="40">
        <v>31.11</v>
      </c>
      <c r="W119" s="40">
        <v>0</v>
      </c>
      <c r="X119" s="44"/>
      <c r="Y119" s="44"/>
      <c r="Z119" s="45"/>
      <c r="AA119" s="44"/>
      <c r="AB119" s="44"/>
      <c r="AC119" s="53" t="s">
        <v>117</v>
      </c>
      <c r="AD119" s="1"/>
    </row>
    <row r="120" spans="6:30" x14ac:dyDescent="0.2">
      <c r="F120" s="1"/>
      <c r="G120" s="5"/>
      <c r="H120" s="27" t="s">
        <v>118</v>
      </c>
      <c r="I120" s="27"/>
      <c r="J120" s="22"/>
      <c r="K120" s="28">
        <f ca="1">SUM(K20:K119)</f>
        <v>7902119.8200000003</v>
      </c>
      <c r="L120" s="28">
        <f ca="1">SUM(L20:L119)</f>
        <v>0</v>
      </c>
      <c r="M120" s="28">
        <f ca="1">SUM(M20:M119)</f>
        <v>-56069.4</v>
      </c>
      <c r="N120" s="35">
        <f t="shared" ca="1" si="4"/>
        <v>1</v>
      </c>
      <c r="O120" s="26" t="s">
        <v>119</v>
      </c>
      <c r="P120" s="1"/>
      <c r="Q120" s="5"/>
      <c r="R120" s="41">
        <v>55000</v>
      </c>
      <c r="S120" s="41">
        <v>1</v>
      </c>
      <c r="T120" s="39" t="s">
        <v>388</v>
      </c>
      <c r="U120" s="40">
        <v>11.99</v>
      </c>
      <c r="V120" s="40">
        <v>11.99</v>
      </c>
      <c r="W120" s="40">
        <v>0</v>
      </c>
      <c r="X120" s="44"/>
      <c r="Y120" s="44"/>
      <c r="Z120" s="45"/>
      <c r="AA120" s="44"/>
      <c r="AB120" s="44"/>
      <c r="AC120" s="53" t="s">
        <v>117</v>
      </c>
      <c r="AD120" s="1"/>
    </row>
    <row r="121" spans="6:30" x14ac:dyDescent="0.2">
      <c r="F121" s="1"/>
      <c r="G121" s="5"/>
      <c r="H121" s="24" t="s">
        <v>193</v>
      </c>
      <c r="I121" s="24" t="s">
        <v>17</v>
      </c>
      <c r="J121" s="23">
        <v>0.2</v>
      </c>
      <c r="K121" s="25">
        <v>599.83000000000004</v>
      </c>
      <c r="L121" s="25">
        <f t="shared" ref="L121:L152" ca="1" si="6">ROUND(J121*K121,2)</f>
        <v>119.97</v>
      </c>
      <c r="M121" s="25">
        <v>119.96</v>
      </c>
      <c r="N121" s="35">
        <f t="shared" ca="1" si="4"/>
        <v>0</v>
      </c>
      <c r="O121" s="26" t="s">
        <v>117</v>
      </c>
      <c r="P121" s="1"/>
      <c r="Q121" s="5"/>
      <c r="R121" s="41">
        <v>55001</v>
      </c>
      <c r="S121" s="41">
        <v>2</v>
      </c>
      <c r="T121" s="39" t="s">
        <v>388</v>
      </c>
      <c r="U121" s="40">
        <v>18</v>
      </c>
      <c r="V121" s="40">
        <v>18</v>
      </c>
      <c r="W121" s="40">
        <v>0</v>
      </c>
      <c r="X121" s="44"/>
      <c r="Y121" s="44"/>
      <c r="Z121" s="45"/>
      <c r="AA121" s="44"/>
      <c r="AB121" s="44"/>
      <c r="AC121" s="53" t="s">
        <v>117</v>
      </c>
      <c r="AD121" s="1"/>
    </row>
    <row r="122" spans="6:30" x14ac:dyDescent="0.2">
      <c r="F122" s="1"/>
      <c r="G122" s="5"/>
      <c r="H122" s="24" t="s">
        <v>194</v>
      </c>
      <c r="I122" s="24" t="s">
        <v>17</v>
      </c>
      <c r="J122" s="23">
        <v>0.2</v>
      </c>
      <c r="K122" s="25">
        <v>342.75</v>
      </c>
      <c r="L122" s="25">
        <f t="shared" ca="1" si="6"/>
        <v>68.55</v>
      </c>
      <c r="M122" s="25">
        <v>68.55</v>
      </c>
      <c r="N122" s="35">
        <f t="shared" ca="1" si="4"/>
        <v>0</v>
      </c>
      <c r="O122" s="26" t="s">
        <v>117</v>
      </c>
      <c r="P122" s="1"/>
      <c r="Q122" s="5"/>
      <c r="R122" s="41">
        <v>55007</v>
      </c>
      <c r="S122" s="41">
        <v>2</v>
      </c>
      <c r="T122" s="39" t="s">
        <v>388</v>
      </c>
      <c r="U122" s="40">
        <v>68.55</v>
      </c>
      <c r="V122" s="40">
        <v>68.55</v>
      </c>
      <c r="W122" s="40">
        <v>0</v>
      </c>
      <c r="X122" s="44"/>
      <c r="Y122" s="44"/>
      <c r="Z122" s="45"/>
      <c r="AA122" s="44"/>
      <c r="AB122" s="44"/>
      <c r="AC122" s="53" t="s">
        <v>117</v>
      </c>
      <c r="AD122" s="1"/>
    </row>
    <row r="123" spans="6:30" x14ac:dyDescent="0.2">
      <c r="F123" s="1"/>
      <c r="G123" s="5"/>
      <c r="H123" s="24" t="s">
        <v>195</v>
      </c>
      <c r="I123" s="24" t="s">
        <v>17</v>
      </c>
      <c r="J123" s="23">
        <v>0.2</v>
      </c>
      <c r="K123" s="25">
        <v>155.53</v>
      </c>
      <c r="L123" s="25">
        <f t="shared" ca="1" si="6"/>
        <v>31.11</v>
      </c>
      <c r="M123" s="25">
        <v>31.11</v>
      </c>
      <c r="N123" s="35">
        <f t="shared" ca="1" si="4"/>
        <v>0</v>
      </c>
      <c r="O123" s="26" t="s">
        <v>117</v>
      </c>
      <c r="P123" s="1"/>
      <c r="Q123" s="5"/>
      <c r="R123" s="41">
        <v>55009</v>
      </c>
      <c r="S123" s="41">
        <v>1</v>
      </c>
      <c r="T123" s="39" t="s">
        <v>388</v>
      </c>
      <c r="U123" s="40">
        <v>10</v>
      </c>
      <c r="V123" s="40">
        <v>10</v>
      </c>
      <c r="W123" s="40">
        <v>0</v>
      </c>
      <c r="X123" s="44"/>
      <c r="Y123" s="44"/>
      <c r="Z123" s="45"/>
      <c r="AA123" s="44"/>
      <c r="AB123" s="44"/>
      <c r="AC123" s="53" t="s">
        <v>117</v>
      </c>
      <c r="AD123" s="1"/>
    </row>
    <row r="124" spans="6:30" x14ac:dyDescent="0.2">
      <c r="F124" s="1"/>
      <c r="G124" s="5"/>
      <c r="H124" s="24" t="s">
        <v>196</v>
      </c>
      <c r="I124" s="24" t="s">
        <v>17</v>
      </c>
      <c r="J124" s="23">
        <v>0.2</v>
      </c>
      <c r="K124" s="25">
        <v>155.53</v>
      </c>
      <c r="L124" s="25">
        <f t="shared" ca="1" si="6"/>
        <v>31.11</v>
      </c>
      <c r="M124" s="25">
        <v>31.11</v>
      </c>
      <c r="N124" s="35">
        <f t="shared" ca="1" si="4"/>
        <v>0</v>
      </c>
      <c r="O124" s="26" t="s">
        <v>117</v>
      </c>
      <c r="P124" s="1"/>
      <c r="Q124" s="5"/>
      <c r="R124" s="46"/>
      <c r="S124" s="46" t="s">
        <v>17</v>
      </c>
      <c r="T124" s="46" t="s">
        <v>388</v>
      </c>
      <c r="U124" s="42">
        <f ca="1">SUM(U15:U123)</f>
        <v>34047.599999999999</v>
      </c>
      <c r="V124" s="42">
        <f ca="1">SUM(V15:V123)</f>
        <v>34047.599999999999</v>
      </c>
      <c r="W124" s="47">
        <f ca="1">SUM(W15:W123)</f>
        <v>0</v>
      </c>
      <c r="X124" s="42">
        <v>1</v>
      </c>
      <c r="Y124" s="42">
        <f ca="1">W124-X124</f>
        <v>0</v>
      </c>
      <c r="Z124" s="46" t="s">
        <v>433</v>
      </c>
      <c r="AA124" s="42">
        <f ca="1">IF(Z124=$D$15,0,U124)</f>
        <v>0</v>
      </c>
      <c r="AB124" s="42">
        <f ca="1">IF(T124="GBP",0,U124)</f>
        <v>0</v>
      </c>
      <c r="AC124" s="54" t="s">
        <v>119</v>
      </c>
      <c r="AD124" s="1"/>
    </row>
    <row r="125" spans="6:30" x14ac:dyDescent="0.2">
      <c r="F125" s="1"/>
      <c r="G125" s="5"/>
      <c r="H125" s="24" t="s">
        <v>197</v>
      </c>
      <c r="I125" s="24" t="s">
        <v>17</v>
      </c>
      <c r="J125" s="23">
        <v>0.2</v>
      </c>
      <c r="K125" s="25">
        <v>255</v>
      </c>
      <c r="L125" s="25">
        <f t="shared" ca="1" si="6"/>
        <v>51</v>
      </c>
      <c r="M125" s="25">
        <v>51</v>
      </c>
      <c r="N125" s="35">
        <f t="shared" ca="1" si="4"/>
        <v>0</v>
      </c>
      <c r="O125" s="26" t="s">
        <v>117</v>
      </c>
      <c r="P125" s="1"/>
      <c r="Q125" s="5"/>
      <c r="R125" s="41">
        <v>54842</v>
      </c>
      <c r="S125" s="41">
        <v>1</v>
      </c>
      <c r="T125" s="39" t="s">
        <v>389</v>
      </c>
      <c r="U125" s="40">
        <v>1940.42</v>
      </c>
      <c r="V125" s="40">
        <v>1251.56</v>
      </c>
      <c r="W125" s="40">
        <v>0</v>
      </c>
      <c r="X125" s="44"/>
      <c r="Y125" s="44"/>
      <c r="Z125" s="45"/>
      <c r="AA125" s="44"/>
      <c r="AB125" s="44"/>
      <c r="AC125" s="53" t="s">
        <v>117</v>
      </c>
      <c r="AD125" s="1"/>
    </row>
    <row r="126" spans="6:30" x14ac:dyDescent="0.2">
      <c r="F126" s="1"/>
      <c r="G126" s="5"/>
      <c r="H126" s="24" t="s">
        <v>198</v>
      </c>
      <c r="I126" s="24" t="s">
        <v>17</v>
      </c>
      <c r="J126" s="23">
        <v>0.2</v>
      </c>
      <c r="K126" s="25">
        <v>340</v>
      </c>
      <c r="L126" s="25">
        <f t="shared" ca="1" si="6"/>
        <v>68</v>
      </c>
      <c r="M126" s="25">
        <v>68</v>
      </c>
      <c r="N126" s="35">
        <f t="shared" ca="1" si="4"/>
        <v>0</v>
      </c>
      <c r="O126" s="26" t="s">
        <v>117</v>
      </c>
      <c r="P126" s="1"/>
      <c r="Q126" s="5"/>
      <c r="R126" s="46"/>
      <c r="S126" s="46" t="s">
        <v>17</v>
      </c>
      <c r="T126" s="46" t="s">
        <v>389</v>
      </c>
      <c r="U126" s="42">
        <f ca="1">SUM(U125:U125)</f>
        <v>1940.42</v>
      </c>
      <c r="V126" s="42">
        <f ca="1">SUM(V125:V125)</f>
        <v>1251.56</v>
      </c>
      <c r="W126" s="47">
        <f ca="1">SUM(W125:W125)</f>
        <v>0</v>
      </c>
      <c r="X126" s="42">
        <v>1</v>
      </c>
      <c r="Y126" s="42">
        <f ca="1">W126-X126</f>
        <v>0</v>
      </c>
      <c r="Z126" s="46" t="s">
        <v>433</v>
      </c>
      <c r="AA126" s="42">
        <f ca="1">IF(Z126=$D$15,0,U126)</f>
        <v>0</v>
      </c>
      <c r="AB126" s="42">
        <f ca="1">IF(T126="GBP",0,U126)</f>
        <v>1940.42</v>
      </c>
      <c r="AC126" s="54" t="s">
        <v>119</v>
      </c>
      <c r="AD126" s="1"/>
    </row>
    <row r="127" spans="6:30" x14ac:dyDescent="0.2">
      <c r="F127" s="1"/>
      <c r="G127" s="5"/>
      <c r="H127" s="24" t="s">
        <v>199</v>
      </c>
      <c r="I127" s="24" t="s">
        <v>17</v>
      </c>
      <c r="J127" s="23">
        <v>0.2</v>
      </c>
      <c r="K127" s="25">
        <v>2895.85</v>
      </c>
      <c r="L127" s="25">
        <f t="shared" ca="1" si="6"/>
        <v>579.16999999999996</v>
      </c>
      <c r="M127" s="25">
        <v>579.16999999999996</v>
      </c>
      <c r="N127" s="35">
        <f t="shared" ca="1" si="4"/>
        <v>0</v>
      </c>
      <c r="O127" s="26" t="s">
        <v>117</v>
      </c>
      <c r="P127" s="1"/>
      <c r="Q127" s="5"/>
      <c r="R127" s="41">
        <v>25570</v>
      </c>
      <c r="S127" s="41">
        <v>1</v>
      </c>
      <c r="T127" s="39" t="s">
        <v>388</v>
      </c>
      <c r="U127" s="40">
        <v>242.8</v>
      </c>
      <c r="V127" s="40">
        <v>242.8</v>
      </c>
      <c r="W127" s="40">
        <v>0</v>
      </c>
      <c r="X127" s="44"/>
      <c r="Y127" s="44"/>
      <c r="Z127" s="45"/>
      <c r="AA127" s="44"/>
      <c r="AB127" s="44"/>
      <c r="AC127" s="53" t="s">
        <v>117</v>
      </c>
      <c r="AD127" s="1"/>
    </row>
    <row r="128" spans="6:30" x14ac:dyDescent="0.2">
      <c r="F128" s="1"/>
      <c r="G128" s="5"/>
      <c r="H128" s="24" t="s">
        <v>200</v>
      </c>
      <c r="I128" s="24" t="s">
        <v>17</v>
      </c>
      <c r="J128" s="23">
        <v>0.2</v>
      </c>
      <c r="K128" s="25">
        <v>85</v>
      </c>
      <c r="L128" s="25">
        <f t="shared" ca="1" si="6"/>
        <v>17</v>
      </c>
      <c r="M128" s="25">
        <v>17</v>
      </c>
      <c r="N128" s="35">
        <f t="shared" ca="1" si="4"/>
        <v>0</v>
      </c>
      <c r="O128" s="26" t="s">
        <v>117</v>
      </c>
      <c r="P128" s="1"/>
      <c r="Q128" s="5"/>
      <c r="R128" s="41">
        <v>25571</v>
      </c>
      <c r="S128" s="41">
        <v>2</v>
      </c>
      <c r="T128" s="39" t="s">
        <v>388</v>
      </c>
      <c r="U128" s="40">
        <v>-242.8</v>
      </c>
      <c r="V128" s="40">
        <v>-242.8</v>
      </c>
      <c r="W128" s="40">
        <v>0</v>
      </c>
      <c r="X128" s="44"/>
      <c r="Y128" s="44"/>
      <c r="Z128" s="45"/>
      <c r="AA128" s="44"/>
      <c r="AB128" s="44"/>
      <c r="AC128" s="53" t="s">
        <v>117</v>
      </c>
      <c r="AD128" s="1"/>
    </row>
    <row r="129" spans="6:30" x14ac:dyDescent="0.2">
      <c r="F129" s="1"/>
      <c r="G129" s="5"/>
      <c r="H129" s="24" t="s">
        <v>201</v>
      </c>
      <c r="I129" s="24" t="s">
        <v>17</v>
      </c>
      <c r="J129" s="23">
        <v>0.2</v>
      </c>
      <c r="K129" s="25">
        <v>1457.31</v>
      </c>
      <c r="L129" s="25">
        <f t="shared" ca="1" si="6"/>
        <v>291.45999999999998</v>
      </c>
      <c r="M129" s="25">
        <v>291.45999999999998</v>
      </c>
      <c r="N129" s="35">
        <f t="shared" ca="1" si="4"/>
        <v>0</v>
      </c>
      <c r="O129" s="26" t="s">
        <v>117</v>
      </c>
      <c r="P129" s="1"/>
      <c r="Q129" s="5"/>
      <c r="R129" s="41">
        <v>55728</v>
      </c>
      <c r="S129" s="41">
        <v>2</v>
      </c>
      <c r="T129" s="39" t="s">
        <v>388</v>
      </c>
      <c r="U129" s="40">
        <v>-4492.8500000000004</v>
      </c>
      <c r="V129" s="40">
        <v>-4492.8500000000004</v>
      </c>
      <c r="W129" s="40">
        <v>0</v>
      </c>
      <c r="X129" s="44"/>
      <c r="Y129" s="44"/>
      <c r="Z129" s="45"/>
      <c r="AA129" s="44"/>
      <c r="AB129" s="44"/>
      <c r="AC129" s="53" t="s">
        <v>117</v>
      </c>
      <c r="AD129" s="1"/>
    </row>
    <row r="130" spans="6:30" x14ac:dyDescent="0.2">
      <c r="F130" s="1"/>
      <c r="G130" s="5"/>
      <c r="H130" s="24" t="s">
        <v>202</v>
      </c>
      <c r="I130" s="24" t="s">
        <v>17</v>
      </c>
      <c r="J130" s="23">
        <v>0.2</v>
      </c>
      <c r="K130" s="25">
        <v>120.27</v>
      </c>
      <c r="L130" s="25">
        <f t="shared" ca="1" si="6"/>
        <v>24.05</v>
      </c>
      <c r="M130" s="25">
        <v>24.05</v>
      </c>
      <c r="N130" s="35">
        <f t="shared" ca="1" si="4"/>
        <v>0</v>
      </c>
      <c r="O130" s="26" t="s">
        <v>117</v>
      </c>
      <c r="P130" s="1"/>
      <c r="Q130" s="5"/>
      <c r="R130" s="41">
        <v>55729</v>
      </c>
      <c r="S130" s="41">
        <v>2</v>
      </c>
      <c r="T130" s="39" t="s">
        <v>388</v>
      </c>
      <c r="U130" s="40">
        <v>-234.21</v>
      </c>
      <c r="V130" s="40">
        <v>-234.21</v>
      </c>
      <c r="W130" s="40">
        <v>0</v>
      </c>
      <c r="X130" s="44"/>
      <c r="Y130" s="44"/>
      <c r="Z130" s="45"/>
      <c r="AA130" s="44"/>
      <c r="AB130" s="44"/>
      <c r="AC130" s="53" t="s">
        <v>117</v>
      </c>
      <c r="AD130" s="1"/>
    </row>
    <row r="131" spans="6:30" x14ac:dyDescent="0.2">
      <c r="F131" s="1"/>
      <c r="G131" s="5"/>
      <c r="H131" s="24" t="s">
        <v>203</v>
      </c>
      <c r="I131" s="24" t="s">
        <v>17</v>
      </c>
      <c r="J131" s="23">
        <v>0.2</v>
      </c>
      <c r="K131" s="25">
        <v>149.94999999999999</v>
      </c>
      <c r="L131" s="25">
        <f t="shared" ca="1" si="6"/>
        <v>29.99</v>
      </c>
      <c r="M131" s="25">
        <v>29.99</v>
      </c>
      <c r="N131" s="35">
        <f t="shared" ca="1" si="4"/>
        <v>0</v>
      </c>
      <c r="O131" s="26" t="s">
        <v>117</v>
      </c>
      <c r="P131" s="1"/>
      <c r="Q131" s="5"/>
      <c r="R131" s="41">
        <v>55730</v>
      </c>
      <c r="S131" s="41">
        <v>2</v>
      </c>
      <c r="T131" s="39" t="s">
        <v>388</v>
      </c>
      <c r="U131" s="40">
        <v>-652.78</v>
      </c>
      <c r="V131" s="40">
        <v>-652.78</v>
      </c>
      <c r="W131" s="40">
        <v>0</v>
      </c>
      <c r="X131" s="44"/>
      <c r="Y131" s="44"/>
      <c r="Z131" s="45"/>
      <c r="AA131" s="44"/>
      <c r="AB131" s="44"/>
      <c r="AC131" s="53" t="s">
        <v>117</v>
      </c>
      <c r="AD131" s="1"/>
    </row>
    <row r="132" spans="6:30" x14ac:dyDescent="0.2">
      <c r="F132" s="1"/>
      <c r="G132" s="5"/>
      <c r="H132" s="24" t="s">
        <v>204</v>
      </c>
      <c r="I132" s="24" t="s">
        <v>17</v>
      </c>
      <c r="J132" s="23">
        <v>0.2</v>
      </c>
      <c r="K132" s="25">
        <v>298.98</v>
      </c>
      <c r="L132" s="25">
        <f t="shared" ca="1" si="6"/>
        <v>59.8</v>
      </c>
      <c r="M132" s="25">
        <v>59.8</v>
      </c>
      <c r="N132" s="35">
        <f t="shared" ca="1" si="4"/>
        <v>0</v>
      </c>
      <c r="O132" s="26" t="s">
        <v>117</v>
      </c>
      <c r="P132" s="1"/>
      <c r="Q132" s="5"/>
      <c r="R132" s="46"/>
      <c r="S132" s="46" t="s">
        <v>360</v>
      </c>
      <c r="T132" s="46" t="s">
        <v>388</v>
      </c>
      <c r="U132" s="42">
        <f ca="1">SUM(U127:U131)</f>
        <v>-5379.84</v>
      </c>
      <c r="V132" s="42">
        <f ca="1">SUM(V127:V131)</f>
        <v>-5379.84</v>
      </c>
      <c r="W132" s="47">
        <f ca="1">SUM(W127:W131)</f>
        <v>0</v>
      </c>
      <c r="X132" s="42">
        <v>1</v>
      </c>
      <c r="Y132" s="42">
        <f ca="1">W132-X132</f>
        <v>0</v>
      </c>
      <c r="Z132" s="46" t="s">
        <v>433</v>
      </c>
      <c r="AA132" s="42">
        <f ca="1">IF(Z132=$D$15,0,U132)</f>
        <v>0</v>
      </c>
      <c r="AB132" s="42">
        <f ca="1">IF(T132="GBP",0,U132)</f>
        <v>0</v>
      </c>
      <c r="AC132" s="54" t="s">
        <v>119</v>
      </c>
      <c r="AD132" s="1"/>
    </row>
    <row r="133" spans="6:30" x14ac:dyDescent="0.2">
      <c r="F133" s="1"/>
      <c r="G133" s="5"/>
      <c r="H133" s="24" t="s">
        <v>205</v>
      </c>
      <c r="I133" s="24" t="s">
        <v>17</v>
      </c>
      <c r="J133" s="23">
        <v>0.2</v>
      </c>
      <c r="K133" s="25">
        <v>-425</v>
      </c>
      <c r="L133" s="25">
        <f t="shared" ca="1" si="6"/>
        <v>-85</v>
      </c>
      <c r="M133" s="25">
        <v>-85</v>
      </c>
      <c r="N133" s="35">
        <f t="shared" ca="1" si="4"/>
        <v>0</v>
      </c>
      <c r="O133" s="26" t="s">
        <v>117</v>
      </c>
      <c r="P133" s="1"/>
      <c r="Q133" s="5"/>
      <c r="R133" s="41">
        <v>57335</v>
      </c>
      <c r="S133" s="41">
        <v>5</v>
      </c>
      <c r="T133" s="39" t="s">
        <v>388</v>
      </c>
      <c r="U133" s="40">
        <v>626.5</v>
      </c>
      <c r="V133" s="40">
        <v>626.5</v>
      </c>
      <c r="W133" s="40">
        <v>0</v>
      </c>
      <c r="X133" s="44"/>
      <c r="Y133" s="44"/>
      <c r="Z133" s="45"/>
      <c r="AA133" s="44"/>
      <c r="AB133" s="44"/>
      <c r="AC133" s="53" t="s">
        <v>117</v>
      </c>
      <c r="AD133" s="1"/>
    </row>
    <row r="134" spans="6:30" x14ac:dyDescent="0.2">
      <c r="F134" s="1"/>
      <c r="G134" s="5"/>
      <c r="H134" s="24" t="s">
        <v>206</v>
      </c>
      <c r="I134" s="24" t="s">
        <v>17</v>
      </c>
      <c r="J134" s="23">
        <v>0.2</v>
      </c>
      <c r="K134" s="25">
        <v>34.25</v>
      </c>
      <c r="L134" s="25">
        <f t="shared" ca="1" si="6"/>
        <v>6.85</v>
      </c>
      <c r="M134" s="25">
        <v>6.85</v>
      </c>
      <c r="N134" s="35">
        <f t="shared" ca="1" si="4"/>
        <v>0</v>
      </c>
      <c r="O134" s="26" t="s">
        <v>117</v>
      </c>
      <c r="P134" s="1"/>
      <c r="Q134" s="5"/>
      <c r="R134" s="46" t="s">
        <v>390</v>
      </c>
      <c r="S134" s="46" t="s">
        <v>17</v>
      </c>
      <c r="T134" s="46" t="s">
        <v>388</v>
      </c>
      <c r="U134" s="42">
        <f ca="1">SUM(U133:U133)</f>
        <v>626.5</v>
      </c>
      <c r="V134" s="42">
        <f ca="1">SUM(V133:V133)</f>
        <v>626.5</v>
      </c>
      <c r="W134" s="47">
        <f ca="1">SUM(W133:W133)</f>
        <v>0</v>
      </c>
      <c r="X134" s="42">
        <v>1</v>
      </c>
      <c r="Y134" s="42">
        <f ca="1">W134-X134</f>
        <v>0</v>
      </c>
      <c r="Z134" s="46" t="s">
        <v>435</v>
      </c>
      <c r="AA134" s="42">
        <f ca="1">IF(Z134=$D$15,0,U134)</f>
        <v>626.5</v>
      </c>
      <c r="AB134" s="42">
        <f ca="1">IF(T134="GBP",0,U134)</f>
        <v>0</v>
      </c>
      <c r="AC134" s="54" t="s">
        <v>119</v>
      </c>
      <c r="AD134" s="1"/>
    </row>
    <row r="135" spans="6:30" x14ac:dyDescent="0.2">
      <c r="F135" s="1"/>
      <c r="G135" s="5"/>
      <c r="H135" s="24" t="s">
        <v>207</v>
      </c>
      <c r="I135" s="24" t="s">
        <v>17</v>
      </c>
      <c r="J135" s="23">
        <v>0.2</v>
      </c>
      <c r="K135" s="25">
        <v>41.1</v>
      </c>
      <c r="L135" s="25">
        <f t="shared" ca="1" si="6"/>
        <v>8.2200000000000006</v>
      </c>
      <c r="M135" s="25">
        <v>8.2200000000000006</v>
      </c>
      <c r="N135" s="35">
        <f t="shared" ca="1" si="4"/>
        <v>0</v>
      </c>
      <c r="O135" s="26" t="s">
        <v>117</v>
      </c>
      <c r="P135" s="1"/>
      <c r="Q135" s="5"/>
      <c r="R135" s="41">
        <v>57335</v>
      </c>
      <c r="S135" s="41">
        <v>6</v>
      </c>
      <c r="T135" s="39" t="s">
        <v>388</v>
      </c>
      <c r="U135" s="40">
        <v>131</v>
      </c>
      <c r="V135" s="40">
        <v>131</v>
      </c>
      <c r="W135" s="40">
        <v>0</v>
      </c>
      <c r="X135" s="44"/>
      <c r="Y135" s="44"/>
      <c r="Z135" s="45"/>
      <c r="AA135" s="44"/>
      <c r="AB135" s="44"/>
      <c r="AC135" s="53" t="s">
        <v>117</v>
      </c>
      <c r="AD135" s="1"/>
    </row>
    <row r="136" spans="6:30" x14ac:dyDescent="0.2">
      <c r="F136" s="1"/>
      <c r="G136" s="5"/>
      <c r="H136" s="24" t="s">
        <v>208</v>
      </c>
      <c r="I136" s="24" t="s">
        <v>17</v>
      </c>
      <c r="J136" s="23">
        <v>0.2</v>
      </c>
      <c r="K136" s="25">
        <v>2800</v>
      </c>
      <c r="L136" s="25">
        <f t="shared" ca="1" si="6"/>
        <v>560</v>
      </c>
      <c r="M136" s="25">
        <v>560</v>
      </c>
      <c r="N136" s="35">
        <f t="shared" ca="1" si="4"/>
        <v>0</v>
      </c>
      <c r="O136" s="26" t="s">
        <v>117</v>
      </c>
      <c r="P136" s="1"/>
      <c r="Q136" s="5"/>
      <c r="R136" s="46" t="s">
        <v>391</v>
      </c>
      <c r="S136" s="46" t="s">
        <v>17</v>
      </c>
      <c r="T136" s="46" t="s">
        <v>388</v>
      </c>
      <c r="U136" s="42">
        <f ca="1">SUM(U135:U135)</f>
        <v>131</v>
      </c>
      <c r="V136" s="42">
        <f ca="1">SUM(V135:V135)</f>
        <v>131</v>
      </c>
      <c r="W136" s="47">
        <f ca="1">SUM(W135:W135)</f>
        <v>0</v>
      </c>
      <c r="X136" s="42">
        <v>1</v>
      </c>
      <c r="Y136" s="42">
        <f ca="1">W136-X136</f>
        <v>0</v>
      </c>
      <c r="Z136" s="46" t="s">
        <v>435</v>
      </c>
      <c r="AA136" s="42">
        <f ca="1">IF(Z136=$D$15,0,U136)</f>
        <v>131</v>
      </c>
      <c r="AB136" s="42">
        <f ca="1">IF(T136="GBP",0,U136)</f>
        <v>0</v>
      </c>
      <c r="AC136" s="54" t="s">
        <v>119</v>
      </c>
      <c r="AD136" s="1"/>
    </row>
    <row r="137" spans="6:30" x14ac:dyDescent="0.2">
      <c r="F137" s="1"/>
      <c r="G137" s="5"/>
      <c r="H137" s="24" t="s">
        <v>209</v>
      </c>
      <c r="I137" s="24" t="s">
        <v>17</v>
      </c>
      <c r="J137" s="23">
        <v>0.2</v>
      </c>
      <c r="K137" s="25">
        <v>7750</v>
      </c>
      <c r="L137" s="25">
        <f t="shared" ca="1" si="6"/>
        <v>1550</v>
      </c>
      <c r="M137" s="25">
        <v>1550</v>
      </c>
      <c r="N137" s="35">
        <f t="shared" ca="1" si="4"/>
        <v>0</v>
      </c>
      <c r="O137" s="26" t="s">
        <v>117</v>
      </c>
      <c r="P137" s="1"/>
      <c r="Q137" s="5"/>
      <c r="R137" s="41">
        <v>29496</v>
      </c>
      <c r="S137" s="41">
        <v>3</v>
      </c>
      <c r="T137" s="39" t="s">
        <v>388</v>
      </c>
      <c r="U137" s="40">
        <v>460</v>
      </c>
      <c r="V137" s="40">
        <v>460</v>
      </c>
      <c r="W137" s="40">
        <v>0</v>
      </c>
      <c r="X137" s="44"/>
      <c r="Y137" s="44"/>
      <c r="Z137" s="45"/>
      <c r="AA137" s="44"/>
      <c r="AB137" s="44"/>
      <c r="AC137" s="53" t="s">
        <v>117</v>
      </c>
      <c r="AD137" s="1"/>
    </row>
    <row r="138" spans="6:30" x14ac:dyDescent="0.2">
      <c r="F138" s="1"/>
      <c r="G138" s="5"/>
      <c r="H138" s="24" t="s">
        <v>210</v>
      </c>
      <c r="I138" s="24" t="s">
        <v>17</v>
      </c>
      <c r="J138" s="23">
        <v>0.2</v>
      </c>
      <c r="K138" s="25">
        <v>40</v>
      </c>
      <c r="L138" s="25">
        <f t="shared" ca="1" si="6"/>
        <v>8</v>
      </c>
      <c r="M138" s="25">
        <v>8</v>
      </c>
      <c r="N138" s="35">
        <f t="shared" ca="1" si="4"/>
        <v>0</v>
      </c>
      <c r="O138" s="26" t="s">
        <v>117</v>
      </c>
      <c r="P138" s="1"/>
      <c r="Q138" s="5"/>
      <c r="R138" s="41">
        <v>57268</v>
      </c>
      <c r="S138" s="41">
        <v>2</v>
      </c>
      <c r="T138" s="39" t="s">
        <v>388</v>
      </c>
      <c r="U138" s="40">
        <v>1495</v>
      </c>
      <c r="V138" s="40">
        <v>1495</v>
      </c>
      <c r="W138" s="40">
        <v>0</v>
      </c>
      <c r="X138" s="44"/>
      <c r="Y138" s="44"/>
      <c r="Z138" s="45"/>
      <c r="AA138" s="44"/>
      <c r="AB138" s="44"/>
      <c r="AC138" s="53" t="s">
        <v>117</v>
      </c>
      <c r="AD138" s="1"/>
    </row>
    <row r="139" spans="6:30" x14ac:dyDescent="0.2">
      <c r="F139" s="1"/>
      <c r="G139" s="5"/>
      <c r="H139" s="24" t="s">
        <v>211</v>
      </c>
      <c r="I139" s="24" t="s">
        <v>17</v>
      </c>
      <c r="J139" s="23">
        <v>0.2</v>
      </c>
      <c r="K139" s="25">
        <v>7185.5</v>
      </c>
      <c r="L139" s="25">
        <f t="shared" ca="1" si="6"/>
        <v>1437.1</v>
      </c>
      <c r="M139" s="25">
        <v>1437.1</v>
      </c>
      <c r="N139" s="35">
        <f t="shared" ca="1" si="4"/>
        <v>0</v>
      </c>
      <c r="O139" s="26" t="s">
        <v>117</v>
      </c>
      <c r="P139" s="1"/>
      <c r="Q139" s="5"/>
      <c r="R139" s="46" t="s">
        <v>392</v>
      </c>
      <c r="S139" s="46" t="s">
        <v>17</v>
      </c>
      <c r="T139" s="46" t="s">
        <v>388</v>
      </c>
      <c r="U139" s="42">
        <f ca="1">SUM(U137:U138)</f>
        <v>1955</v>
      </c>
      <c r="V139" s="42">
        <f ca="1">SUM(V137:V138)</f>
        <v>1955</v>
      </c>
      <c r="W139" s="47">
        <f ca="1">SUM(W137:W138)</f>
        <v>0</v>
      </c>
      <c r="X139" s="42">
        <v>1</v>
      </c>
      <c r="Y139" s="42">
        <f ca="1">W139-X139</f>
        <v>0</v>
      </c>
      <c r="Z139" s="46" t="s">
        <v>435</v>
      </c>
      <c r="AA139" s="42">
        <f ca="1">IF(Z139=$D$15,0,U139)</f>
        <v>1955</v>
      </c>
      <c r="AB139" s="42">
        <f ca="1">IF(T139="GBP",0,U139)</f>
        <v>0</v>
      </c>
      <c r="AC139" s="54" t="s">
        <v>119</v>
      </c>
      <c r="AD139" s="1"/>
    </row>
    <row r="140" spans="6:30" x14ac:dyDescent="0.2">
      <c r="F140" s="1"/>
      <c r="G140" s="5"/>
      <c r="H140" s="24" t="s">
        <v>212</v>
      </c>
      <c r="I140" s="24" t="s">
        <v>17</v>
      </c>
      <c r="J140" s="23">
        <v>0.2</v>
      </c>
      <c r="K140" s="25">
        <v>4607</v>
      </c>
      <c r="L140" s="25">
        <f t="shared" ca="1" si="6"/>
        <v>921.4</v>
      </c>
      <c r="M140" s="25">
        <v>921.4</v>
      </c>
      <c r="N140" s="35">
        <f t="shared" ca="1" si="4"/>
        <v>0</v>
      </c>
      <c r="O140" s="26" t="s">
        <v>117</v>
      </c>
      <c r="P140" s="1"/>
      <c r="Q140" s="5"/>
      <c r="R140" s="41">
        <v>25462</v>
      </c>
      <c r="S140" s="41">
        <v>14</v>
      </c>
      <c r="T140" s="39" t="s">
        <v>388</v>
      </c>
      <c r="U140" s="40">
        <v>356.79</v>
      </c>
      <c r="V140" s="40">
        <v>356.79</v>
      </c>
      <c r="W140" s="40">
        <v>0</v>
      </c>
      <c r="X140" s="44"/>
      <c r="Y140" s="44"/>
      <c r="Z140" s="45"/>
      <c r="AA140" s="44"/>
      <c r="AB140" s="44"/>
      <c r="AC140" s="53" t="s">
        <v>117</v>
      </c>
      <c r="AD140" s="1"/>
    </row>
    <row r="141" spans="6:30" x14ac:dyDescent="0.2">
      <c r="F141" s="1"/>
      <c r="G141" s="5"/>
      <c r="H141" s="24" t="s">
        <v>213</v>
      </c>
      <c r="I141" s="24" t="s">
        <v>17</v>
      </c>
      <c r="J141" s="23">
        <v>0.2</v>
      </c>
      <c r="K141" s="25">
        <v>90</v>
      </c>
      <c r="L141" s="25">
        <f t="shared" ca="1" si="6"/>
        <v>18</v>
      </c>
      <c r="M141" s="25">
        <v>18</v>
      </c>
      <c r="N141" s="35">
        <f t="shared" ca="1" si="4"/>
        <v>0</v>
      </c>
      <c r="O141" s="26" t="s">
        <v>117</v>
      </c>
      <c r="P141" s="1"/>
      <c r="Q141" s="5"/>
      <c r="R141" s="41">
        <v>25462</v>
      </c>
      <c r="S141" s="41">
        <v>16</v>
      </c>
      <c r="T141" s="39" t="s">
        <v>388</v>
      </c>
      <c r="U141" s="40">
        <v>222</v>
      </c>
      <c r="V141" s="40">
        <v>222</v>
      </c>
      <c r="W141" s="40">
        <v>0</v>
      </c>
      <c r="X141" s="44"/>
      <c r="Y141" s="44"/>
      <c r="Z141" s="45"/>
      <c r="AA141" s="44"/>
      <c r="AB141" s="44"/>
      <c r="AC141" s="53" t="s">
        <v>117</v>
      </c>
      <c r="AD141" s="1"/>
    </row>
    <row r="142" spans="6:30" x14ac:dyDescent="0.2">
      <c r="F142" s="1"/>
      <c r="G142" s="5"/>
      <c r="H142" s="24" t="s">
        <v>214</v>
      </c>
      <c r="I142" s="24" t="s">
        <v>17</v>
      </c>
      <c r="J142" s="23">
        <v>0.2</v>
      </c>
      <c r="K142" s="25">
        <v>1550</v>
      </c>
      <c r="L142" s="25">
        <f t="shared" ca="1" si="6"/>
        <v>310</v>
      </c>
      <c r="M142" s="25">
        <v>310</v>
      </c>
      <c r="N142" s="35">
        <f t="shared" ca="1" si="4"/>
        <v>0</v>
      </c>
      <c r="O142" s="26" t="s">
        <v>117</v>
      </c>
      <c r="P142" s="1"/>
      <c r="Q142" s="5"/>
      <c r="R142" s="46" t="s">
        <v>393</v>
      </c>
      <c r="S142" s="46" t="s">
        <v>17</v>
      </c>
      <c r="T142" s="46" t="s">
        <v>388</v>
      </c>
      <c r="U142" s="42">
        <f ca="1">SUM(U140:U141)</f>
        <v>578.79</v>
      </c>
      <c r="V142" s="42">
        <f ca="1">SUM(V140:V141)</f>
        <v>578.79</v>
      </c>
      <c r="W142" s="47">
        <f ca="1">SUM(W140:W141)</f>
        <v>0</v>
      </c>
      <c r="X142" s="42">
        <v>1</v>
      </c>
      <c r="Y142" s="42">
        <f ca="1">W142-X142</f>
        <v>0</v>
      </c>
      <c r="Z142" s="46" t="s">
        <v>436</v>
      </c>
      <c r="AA142" s="42">
        <f ca="1">IF(Z142=$D$15,0,U142)</f>
        <v>578.79</v>
      </c>
      <c r="AB142" s="42">
        <f ca="1">IF(T142="GBP",0,U142)</f>
        <v>0</v>
      </c>
      <c r="AC142" s="54" t="s">
        <v>119</v>
      </c>
      <c r="AD142" s="1"/>
    </row>
    <row r="143" spans="6:30" x14ac:dyDescent="0.2">
      <c r="F143" s="1"/>
      <c r="G143" s="5"/>
      <c r="H143" s="24" t="s">
        <v>215</v>
      </c>
      <c r="I143" s="24" t="s">
        <v>17</v>
      </c>
      <c r="J143" s="23">
        <v>0.2</v>
      </c>
      <c r="K143" s="25">
        <v>1550</v>
      </c>
      <c r="L143" s="25">
        <f t="shared" ca="1" si="6"/>
        <v>310</v>
      </c>
      <c r="M143" s="25">
        <v>310</v>
      </c>
      <c r="N143" s="35">
        <f t="shared" ca="1" si="4"/>
        <v>0</v>
      </c>
      <c r="O143" s="26" t="s">
        <v>117</v>
      </c>
      <c r="P143" s="1"/>
      <c r="Q143" s="5"/>
      <c r="R143" s="41">
        <v>25462</v>
      </c>
      <c r="S143" s="41">
        <v>8</v>
      </c>
      <c r="T143" s="39" t="s">
        <v>388</v>
      </c>
      <c r="U143" s="40">
        <v>1073</v>
      </c>
      <c r="V143" s="40">
        <v>1073</v>
      </c>
      <c r="W143" s="40">
        <v>0</v>
      </c>
      <c r="X143" s="44"/>
      <c r="Y143" s="44"/>
      <c r="Z143" s="45"/>
      <c r="AA143" s="44"/>
      <c r="AB143" s="44"/>
      <c r="AC143" s="53" t="s">
        <v>117</v>
      </c>
      <c r="AD143" s="1"/>
    </row>
    <row r="144" spans="6:30" x14ac:dyDescent="0.2">
      <c r="F144" s="1"/>
      <c r="G144" s="5"/>
      <c r="H144" s="24" t="s">
        <v>216</v>
      </c>
      <c r="I144" s="24" t="s">
        <v>17</v>
      </c>
      <c r="J144" s="23">
        <v>0.2</v>
      </c>
      <c r="K144" s="25">
        <v>155.53</v>
      </c>
      <c r="L144" s="25">
        <f t="shared" ca="1" si="6"/>
        <v>31.11</v>
      </c>
      <c r="M144" s="25">
        <v>31.11</v>
      </c>
      <c r="N144" s="35">
        <f t="shared" ca="1" si="4"/>
        <v>0</v>
      </c>
      <c r="O144" s="26" t="s">
        <v>117</v>
      </c>
      <c r="P144" s="1"/>
      <c r="Q144" s="5"/>
      <c r="R144" s="41">
        <v>25462</v>
      </c>
      <c r="S144" s="41">
        <v>10</v>
      </c>
      <c r="T144" s="39" t="s">
        <v>388</v>
      </c>
      <c r="U144" s="40">
        <v>356.78</v>
      </c>
      <c r="V144" s="40">
        <v>356.78</v>
      </c>
      <c r="W144" s="40">
        <v>0</v>
      </c>
      <c r="X144" s="44"/>
      <c r="Y144" s="44"/>
      <c r="Z144" s="45"/>
      <c r="AA144" s="44"/>
      <c r="AB144" s="44"/>
      <c r="AC144" s="53" t="s">
        <v>117</v>
      </c>
      <c r="AD144" s="1"/>
    </row>
    <row r="145" spans="6:30" x14ac:dyDescent="0.2">
      <c r="F145" s="1"/>
      <c r="G145" s="5"/>
      <c r="H145" s="24" t="s">
        <v>217</v>
      </c>
      <c r="I145" s="24" t="s">
        <v>17</v>
      </c>
      <c r="J145" s="23">
        <v>0.2</v>
      </c>
      <c r="K145" s="25">
        <v>155.53</v>
      </c>
      <c r="L145" s="25">
        <f t="shared" ca="1" si="6"/>
        <v>31.11</v>
      </c>
      <c r="M145" s="25">
        <v>31.11</v>
      </c>
      <c r="N145" s="35">
        <f t="shared" ca="1" si="4"/>
        <v>0</v>
      </c>
      <c r="O145" s="26" t="s">
        <v>117</v>
      </c>
      <c r="P145" s="1"/>
      <c r="Q145" s="5"/>
      <c r="R145" s="46" t="s">
        <v>394</v>
      </c>
      <c r="S145" s="46" t="s">
        <v>17</v>
      </c>
      <c r="T145" s="46" t="s">
        <v>388</v>
      </c>
      <c r="U145" s="42">
        <f ca="1">SUM(U143:U144)</f>
        <v>1429.78</v>
      </c>
      <c r="V145" s="42">
        <f ca="1">SUM(V143:V144)</f>
        <v>1429.78</v>
      </c>
      <c r="W145" s="47">
        <f ca="1">SUM(W143:W144)</f>
        <v>0</v>
      </c>
      <c r="X145" s="42">
        <v>1</v>
      </c>
      <c r="Y145" s="42">
        <f ca="1">W145-X145</f>
        <v>0</v>
      </c>
      <c r="Z145" s="46" t="s">
        <v>436</v>
      </c>
      <c r="AA145" s="42">
        <f ca="1">IF(Z145=$D$15,0,U145)</f>
        <v>1429.78</v>
      </c>
      <c r="AB145" s="42">
        <f ca="1">IF(T145="GBP",0,U145)</f>
        <v>0</v>
      </c>
      <c r="AC145" s="54" t="s">
        <v>119</v>
      </c>
      <c r="AD145" s="1"/>
    </row>
    <row r="146" spans="6:30" x14ac:dyDescent="0.2">
      <c r="F146" s="1"/>
      <c r="G146" s="5"/>
      <c r="H146" s="24" t="s">
        <v>218</v>
      </c>
      <c r="I146" s="24" t="s">
        <v>17</v>
      </c>
      <c r="J146" s="23">
        <v>0.2</v>
      </c>
      <c r="K146" s="25">
        <v>215.15</v>
      </c>
      <c r="L146" s="25">
        <f t="shared" ca="1" si="6"/>
        <v>43.03</v>
      </c>
      <c r="M146" s="25">
        <v>43.03</v>
      </c>
      <c r="N146" s="35">
        <f t="shared" ca="1" si="4"/>
        <v>0</v>
      </c>
      <c r="O146" s="26" t="s">
        <v>117</v>
      </c>
      <c r="P146" s="1"/>
      <c r="Q146" s="5"/>
      <c r="R146" s="41">
        <v>25456</v>
      </c>
      <c r="S146" s="41">
        <v>3</v>
      </c>
      <c r="T146" s="39" t="s">
        <v>388</v>
      </c>
      <c r="U146" s="40">
        <v>141.94</v>
      </c>
      <c r="V146" s="40">
        <v>141.94</v>
      </c>
      <c r="W146" s="40">
        <v>0</v>
      </c>
      <c r="X146" s="44"/>
      <c r="Y146" s="44"/>
      <c r="Z146" s="45"/>
      <c r="AA146" s="44"/>
      <c r="AB146" s="44"/>
      <c r="AC146" s="53" t="s">
        <v>117</v>
      </c>
      <c r="AD146" s="1"/>
    </row>
    <row r="147" spans="6:30" x14ac:dyDescent="0.2">
      <c r="F147" s="1"/>
      <c r="G147" s="5"/>
      <c r="H147" s="24" t="s">
        <v>219</v>
      </c>
      <c r="I147" s="24" t="s">
        <v>17</v>
      </c>
      <c r="J147" s="23">
        <v>0.2</v>
      </c>
      <c r="K147" s="25">
        <v>3600</v>
      </c>
      <c r="L147" s="25">
        <f t="shared" ca="1" si="6"/>
        <v>720</v>
      </c>
      <c r="M147" s="25">
        <v>720</v>
      </c>
      <c r="N147" s="35">
        <f t="shared" ca="1" si="4"/>
        <v>0</v>
      </c>
      <c r="O147" s="26" t="s">
        <v>117</v>
      </c>
      <c r="P147" s="1"/>
      <c r="Q147" s="5"/>
      <c r="R147" s="41">
        <v>25462</v>
      </c>
      <c r="S147" s="41">
        <v>2</v>
      </c>
      <c r="T147" s="39" t="s">
        <v>388</v>
      </c>
      <c r="U147" s="40">
        <v>1461.5</v>
      </c>
      <c r="V147" s="40">
        <v>1461.5</v>
      </c>
      <c r="W147" s="40">
        <v>0</v>
      </c>
      <c r="X147" s="44"/>
      <c r="Y147" s="44"/>
      <c r="Z147" s="45"/>
      <c r="AA147" s="44"/>
      <c r="AB147" s="44"/>
      <c r="AC147" s="53" t="s">
        <v>117</v>
      </c>
      <c r="AD147" s="1"/>
    </row>
    <row r="148" spans="6:30" x14ac:dyDescent="0.2">
      <c r="F148" s="1"/>
      <c r="G148" s="5"/>
      <c r="H148" s="24" t="s">
        <v>220</v>
      </c>
      <c r="I148" s="24" t="s">
        <v>17</v>
      </c>
      <c r="J148" s="23">
        <v>0.2</v>
      </c>
      <c r="K148" s="25">
        <v>11400</v>
      </c>
      <c r="L148" s="25">
        <f t="shared" ca="1" si="6"/>
        <v>2280</v>
      </c>
      <c r="M148" s="25">
        <v>2280</v>
      </c>
      <c r="N148" s="35">
        <f t="shared" ref="N148:N211" ca="1" si="7">IF(AND(M148&gt;L148-0.1,M148&lt;L148+0.1),0,1)</f>
        <v>0</v>
      </c>
      <c r="O148" s="26" t="s">
        <v>117</v>
      </c>
      <c r="P148" s="1"/>
      <c r="Q148" s="5"/>
      <c r="R148" s="41">
        <v>25462</v>
      </c>
      <c r="S148" s="41">
        <v>4</v>
      </c>
      <c r="T148" s="39" t="s">
        <v>388</v>
      </c>
      <c r="U148" s="40">
        <v>356.78</v>
      </c>
      <c r="V148" s="40">
        <v>356.78</v>
      </c>
      <c r="W148" s="40">
        <v>0</v>
      </c>
      <c r="X148" s="44"/>
      <c r="Y148" s="44"/>
      <c r="Z148" s="45"/>
      <c r="AA148" s="44"/>
      <c r="AB148" s="44"/>
      <c r="AC148" s="53" t="s">
        <v>117</v>
      </c>
      <c r="AD148" s="1"/>
    </row>
    <row r="149" spans="6:30" x14ac:dyDescent="0.2">
      <c r="F149" s="1"/>
      <c r="G149" s="5"/>
      <c r="H149" s="24" t="s">
        <v>221</v>
      </c>
      <c r="I149" s="24" t="s">
        <v>17</v>
      </c>
      <c r="J149" s="23">
        <v>0.2</v>
      </c>
      <c r="K149" s="25">
        <v>170</v>
      </c>
      <c r="L149" s="25">
        <f t="shared" ca="1" si="6"/>
        <v>34</v>
      </c>
      <c r="M149" s="25">
        <v>34</v>
      </c>
      <c r="N149" s="35">
        <f t="shared" ca="1" si="7"/>
        <v>0</v>
      </c>
      <c r="O149" s="26" t="s">
        <v>117</v>
      </c>
      <c r="P149" s="1"/>
      <c r="Q149" s="5"/>
      <c r="R149" s="41">
        <v>25462</v>
      </c>
      <c r="S149" s="41">
        <v>12</v>
      </c>
      <c r="T149" s="39" t="s">
        <v>388</v>
      </c>
      <c r="U149" s="40">
        <v>629</v>
      </c>
      <c r="V149" s="40">
        <v>629</v>
      </c>
      <c r="W149" s="40">
        <v>0</v>
      </c>
      <c r="X149" s="44"/>
      <c r="Y149" s="44"/>
      <c r="Z149" s="45"/>
      <c r="AA149" s="44"/>
      <c r="AB149" s="44"/>
      <c r="AC149" s="53" t="s">
        <v>117</v>
      </c>
      <c r="AD149" s="1"/>
    </row>
    <row r="150" spans="6:30" x14ac:dyDescent="0.2">
      <c r="F150" s="1"/>
      <c r="G150" s="5"/>
      <c r="H150" s="24" t="s">
        <v>222</v>
      </c>
      <c r="I150" s="24" t="s">
        <v>17</v>
      </c>
      <c r="J150" s="23">
        <v>0.2</v>
      </c>
      <c r="K150" s="25">
        <v>61.35</v>
      </c>
      <c r="L150" s="25">
        <f t="shared" ca="1" si="6"/>
        <v>12.27</v>
      </c>
      <c r="M150" s="25">
        <v>12.27</v>
      </c>
      <c r="N150" s="35">
        <f t="shared" ca="1" si="7"/>
        <v>0</v>
      </c>
      <c r="O150" s="26" t="s">
        <v>117</v>
      </c>
      <c r="P150" s="1"/>
      <c r="Q150" s="5"/>
      <c r="R150" s="41">
        <v>25464</v>
      </c>
      <c r="S150" s="41">
        <v>2</v>
      </c>
      <c r="T150" s="39" t="s">
        <v>388</v>
      </c>
      <c r="U150" s="40">
        <v>392.32</v>
      </c>
      <c r="V150" s="40">
        <v>392.32</v>
      </c>
      <c r="W150" s="40">
        <v>0</v>
      </c>
      <c r="X150" s="44"/>
      <c r="Y150" s="44"/>
      <c r="Z150" s="45"/>
      <c r="AA150" s="44"/>
      <c r="AB150" s="44"/>
      <c r="AC150" s="53" t="s">
        <v>117</v>
      </c>
      <c r="AD150" s="1"/>
    </row>
    <row r="151" spans="6:30" x14ac:dyDescent="0.2">
      <c r="F151" s="1"/>
      <c r="G151" s="5"/>
      <c r="H151" s="24" t="s">
        <v>223</v>
      </c>
      <c r="I151" s="24" t="s">
        <v>17</v>
      </c>
      <c r="J151" s="23">
        <v>0.2</v>
      </c>
      <c r="K151" s="25">
        <v>56.6</v>
      </c>
      <c r="L151" s="25">
        <f t="shared" ca="1" si="6"/>
        <v>11.32</v>
      </c>
      <c r="M151" s="25">
        <v>11.32</v>
      </c>
      <c r="N151" s="35">
        <f t="shared" ca="1" si="7"/>
        <v>0</v>
      </c>
      <c r="O151" s="26" t="s">
        <v>117</v>
      </c>
      <c r="P151" s="1"/>
      <c r="Q151" s="5"/>
      <c r="R151" s="41">
        <v>25465</v>
      </c>
      <c r="S151" s="41">
        <v>3</v>
      </c>
      <c r="T151" s="39" t="s">
        <v>388</v>
      </c>
      <c r="U151" s="40">
        <v>560</v>
      </c>
      <c r="V151" s="40">
        <v>560</v>
      </c>
      <c r="W151" s="40">
        <v>0</v>
      </c>
      <c r="X151" s="44"/>
      <c r="Y151" s="44"/>
      <c r="Z151" s="45"/>
      <c r="AA151" s="44"/>
      <c r="AB151" s="44"/>
      <c r="AC151" s="53" t="s">
        <v>117</v>
      </c>
      <c r="AD151" s="1"/>
    </row>
    <row r="152" spans="6:30" x14ac:dyDescent="0.2">
      <c r="F152" s="1"/>
      <c r="G152" s="5"/>
      <c r="H152" s="24" t="s">
        <v>224</v>
      </c>
      <c r="I152" s="24" t="s">
        <v>17</v>
      </c>
      <c r="J152" s="23">
        <v>0.2</v>
      </c>
      <c r="K152" s="25">
        <v>150.29</v>
      </c>
      <c r="L152" s="25">
        <f t="shared" ca="1" si="6"/>
        <v>30.06</v>
      </c>
      <c r="M152" s="25">
        <v>30.06</v>
      </c>
      <c r="N152" s="35">
        <f t="shared" ca="1" si="7"/>
        <v>0</v>
      </c>
      <c r="O152" s="26" t="s">
        <v>117</v>
      </c>
      <c r="P152" s="1"/>
      <c r="Q152" s="5"/>
      <c r="R152" s="41">
        <v>25466</v>
      </c>
      <c r="S152" s="41">
        <v>2</v>
      </c>
      <c r="T152" s="39" t="s">
        <v>388</v>
      </c>
      <c r="U152" s="40">
        <v>141.94</v>
      </c>
      <c r="V152" s="40">
        <v>141.94</v>
      </c>
      <c r="W152" s="40">
        <v>0</v>
      </c>
      <c r="X152" s="44"/>
      <c r="Y152" s="44"/>
      <c r="Z152" s="45"/>
      <c r="AA152" s="44"/>
      <c r="AB152" s="44"/>
      <c r="AC152" s="53" t="s">
        <v>117</v>
      </c>
      <c r="AD152" s="1"/>
    </row>
    <row r="153" spans="6:30" x14ac:dyDescent="0.2">
      <c r="F153" s="1"/>
      <c r="G153" s="5"/>
      <c r="H153" s="24" t="s">
        <v>225</v>
      </c>
      <c r="I153" s="24" t="s">
        <v>17</v>
      </c>
      <c r="J153" s="23">
        <v>0.2</v>
      </c>
      <c r="K153" s="25">
        <v>193.63</v>
      </c>
      <c r="L153" s="25">
        <f t="shared" ref="L153:L184" ca="1" si="8">ROUND(J153*K153,2)</f>
        <v>38.729999999999997</v>
      </c>
      <c r="M153" s="25">
        <v>38.729999999999997</v>
      </c>
      <c r="N153" s="35">
        <f t="shared" ca="1" si="7"/>
        <v>0</v>
      </c>
      <c r="O153" s="26" t="s">
        <v>117</v>
      </c>
      <c r="P153" s="1"/>
      <c r="Q153" s="5"/>
      <c r="R153" s="41">
        <v>57264</v>
      </c>
      <c r="S153" s="41">
        <v>2</v>
      </c>
      <c r="T153" s="39" t="s">
        <v>388</v>
      </c>
      <c r="U153" s="40">
        <v>380.64</v>
      </c>
      <c r="V153" s="40">
        <v>380.64</v>
      </c>
      <c r="W153" s="40">
        <v>0</v>
      </c>
      <c r="X153" s="44"/>
      <c r="Y153" s="44"/>
      <c r="Z153" s="45"/>
      <c r="AA153" s="44"/>
      <c r="AB153" s="44"/>
      <c r="AC153" s="53" t="s">
        <v>117</v>
      </c>
      <c r="AD153" s="1"/>
    </row>
    <row r="154" spans="6:30" x14ac:dyDescent="0.2">
      <c r="F154" s="1"/>
      <c r="G154" s="5"/>
      <c r="H154" s="24" t="s">
        <v>226</v>
      </c>
      <c r="I154" s="24" t="s">
        <v>17</v>
      </c>
      <c r="J154" s="23">
        <v>0.2</v>
      </c>
      <c r="K154" s="25">
        <v>158.4</v>
      </c>
      <c r="L154" s="25">
        <f t="shared" ca="1" si="8"/>
        <v>31.68</v>
      </c>
      <c r="M154" s="25">
        <v>31.68</v>
      </c>
      <c r="N154" s="35">
        <f t="shared" ca="1" si="7"/>
        <v>0</v>
      </c>
      <c r="O154" s="26" t="s">
        <v>117</v>
      </c>
      <c r="P154" s="1"/>
      <c r="Q154" s="5"/>
      <c r="R154" s="41">
        <v>57298</v>
      </c>
      <c r="S154" s="41">
        <v>2</v>
      </c>
      <c r="T154" s="39" t="s">
        <v>388</v>
      </c>
      <c r="U154" s="40">
        <v>40.32</v>
      </c>
      <c r="V154" s="40">
        <v>40.32</v>
      </c>
      <c r="W154" s="40">
        <v>0</v>
      </c>
      <c r="X154" s="44"/>
      <c r="Y154" s="44"/>
      <c r="Z154" s="45"/>
      <c r="AA154" s="44"/>
      <c r="AB154" s="44"/>
      <c r="AC154" s="53" t="s">
        <v>117</v>
      </c>
      <c r="AD154" s="1"/>
    </row>
    <row r="155" spans="6:30" x14ac:dyDescent="0.2">
      <c r="F155" s="1"/>
      <c r="G155" s="5"/>
      <c r="H155" s="24" t="s">
        <v>227</v>
      </c>
      <c r="I155" s="24" t="s">
        <v>17</v>
      </c>
      <c r="J155" s="23">
        <v>0.2</v>
      </c>
      <c r="K155" s="25">
        <v>209.84</v>
      </c>
      <c r="L155" s="25">
        <f t="shared" ca="1" si="8"/>
        <v>41.97</v>
      </c>
      <c r="M155" s="25">
        <v>41.97</v>
      </c>
      <c r="N155" s="35">
        <f t="shared" ca="1" si="7"/>
        <v>0</v>
      </c>
      <c r="O155" s="26" t="s">
        <v>117</v>
      </c>
      <c r="P155" s="1"/>
      <c r="Q155" s="5"/>
      <c r="R155" s="46" t="s">
        <v>395</v>
      </c>
      <c r="S155" s="46" t="s">
        <v>17</v>
      </c>
      <c r="T155" s="46" t="s">
        <v>388</v>
      </c>
      <c r="U155" s="42">
        <f ca="1">SUM(U146:U154)</f>
        <v>4104.4400000000005</v>
      </c>
      <c r="V155" s="42">
        <f ca="1">SUM(V146:V154)</f>
        <v>4104.4400000000005</v>
      </c>
      <c r="W155" s="47">
        <f ca="1">SUM(W146:W154)</f>
        <v>0</v>
      </c>
      <c r="X155" s="42">
        <v>1</v>
      </c>
      <c r="Y155" s="42">
        <f ca="1">W155-X155</f>
        <v>0</v>
      </c>
      <c r="Z155" s="46" t="s">
        <v>436</v>
      </c>
      <c r="AA155" s="42">
        <f ca="1">IF(Z155=$D$15,0,U155)</f>
        <v>4104.4400000000005</v>
      </c>
      <c r="AB155" s="42">
        <f ca="1">IF(T155="GBP",0,U155)</f>
        <v>0</v>
      </c>
      <c r="AC155" s="54" t="s">
        <v>119</v>
      </c>
      <c r="AD155" s="1"/>
    </row>
    <row r="156" spans="6:30" x14ac:dyDescent="0.2">
      <c r="F156" s="1"/>
      <c r="G156" s="5"/>
      <c r="H156" s="24" t="s">
        <v>228</v>
      </c>
      <c r="I156" s="24" t="s">
        <v>17</v>
      </c>
      <c r="J156" s="23">
        <v>0.2</v>
      </c>
      <c r="K156" s="25">
        <v>37.28</v>
      </c>
      <c r="L156" s="25">
        <f t="shared" ca="1" si="8"/>
        <v>7.46</v>
      </c>
      <c r="M156" s="25">
        <v>7.46</v>
      </c>
      <c r="N156" s="35">
        <f t="shared" ca="1" si="7"/>
        <v>0</v>
      </c>
      <c r="O156" s="26" t="s">
        <v>117</v>
      </c>
      <c r="P156" s="1"/>
      <c r="Q156" s="5"/>
      <c r="R156" s="41">
        <v>25462</v>
      </c>
      <c r="S156" s="41">
        <v>5</v>
      </c>
      <c r="T156" s="39" t="s">
        <v>388</v>
      </c>
      <c r="U156" s="40">
        <v>37</v>
      </c>
      <c r="V156" s="40">
        <v>37</v>
      </c>
      <c r="W156" s="40">
        <v>0</v>
      </c>
      <c r="X156" s="44"/>
      <c r="Y156" s="44"/>
      <c r="Z156" s="45"/>
      <c r="AA156" s="44"/>
      <c r="AB156" s="44"/>
      <c r="AC156" s="53" t="s">
        <v>117</v>
      </c>
      <c r="AD156" s="1"/>
    </row>
    <row r="157" spans="6:30" x14ac:dyDescent="0.2">
      <c r="F157" s="1"/>
      <c r="G157" s="5"/>
      <c r="H157" s="24" t="s">
        <v>229</v>
      </c>
      <c r="I157" s="24" t="s">
        <v>17</v>
      </c>
      <c r="J157" s="23">
        <v>0.2</v>
      </c>
      <c r="K157" s="25">
        <v>55.77</v>
      </c>
      <c r="L157" s="25">
        <f t="shared" ca="1" si="8"/>
        <v>11.15</v>
      </c>
      <c r="M157" s="25">
        <v>11.15</v>
      </c>
      <c r="N157" s="35">
        <f t="shared" ca="1" si="7"/>
        <v>0</v>
      </c>
      <c r="O157" s="26" t="s">
        <v>117</v>
      </c>
      <c r="P157" s="1"/>
      <c r="Q157" s="5"/>
      <c r="R157" s="46" t="s">
        <v>396</v>
      </c>
      <c r="S157" s="46" t="s">
        <v>17</v>
      </c>
      <c r="T157" s="46" t="s">
        <v>388</v>
      </c>
      <c r="U157" s="42">
        <f ca="1">SUM(U156:U156)</f>
        <v>37</v>
      </c>
      <c r="V157" s="42">
        <f ca="1">SUM(V156:V156)</f>
        <v>37</v>
      </c>
      <c r="W157" s="47">
        <f ca="1">SUM(W156:W156)</f>
        <v>0</v>
      </c>
      <c r="X157" s="42">
        <v>1</v>
      </c>
      <c r="Y157" s="42">
        <f ca="1">W157-X157</f>
        <v>0</v>
      </c>
      <c r="Z157" s="46" t="s">
        <v>436</v>
      </c>
      <c r="AA157" s="42">
        <f ca="1">IF(Z157=$D$15,0,U157)</f>
        <v>37</v>
      </c>
      <c r="AB157" s="42">
        <f ca="1">IF(T157="GBP",0,U157)</f>
        <v>0</v>
      </c>
      <c r="AC157" s="54" t="s">
        <v>119</v>
      </c>
      <c r="AD157" s="1"/>
    </row>
    <row r="158" spans="6:30" x14ac:dyDescent="0.2">
      <c r="F158" s="1"/>
      <c r="G158" s="5"/>
      <c r="H158" s="24" t="s">
        <v>230</v>
      </c>
      <c r="I158" s="24" t="s">
        <v>17</v>
      </c>
      <c r="J158" s="23">
        <v>0.2</v>
      </c>
      <c r="K158" s="25">
        <v>41.17</v>
      </c>
      <c r="L158" s="25">
        <f t="shared" ca="1" si="8"/>
        <v>8.23</v>
      </c>
      <c r="M158" s="25">
        <v>8.23</v>
      </c>
      <c r="N158" s="35">
        <f t="shared" ca="1" si="7"/>
        <v>0</v>
      </c>
      <c r="O158" s="26" t="s">
        <v>117</v>
      </c>
      <c r="P158" s="1"/>
      <c r="Q158" s="5"/>
      <c r="R158" s="41">
        <v>23364</v>
      </c>
      <c r="S158" s="41">
        <v>5</v>
      </c>
      <c r="T158" s="39" t="s">
        <v>388</v>
      </c>
      <c r="U158" s="40">
        <v>74</v>
      </c>
      <c r="V158" s="40">
        <v>74</v>
      </c>
      <c r="W158" s="40">
        <v>0</v>
      </c>
      <c r="X158" s="44"/>
      <c r="Y158" s="44"/>
      <c r="Z158" s="45"/>
      <c r="AA158" s="44"/>
      <c r="AB158" s="44"/>
      <c r="AC158" s="53" t="s">
        <v>117</v>
      </c>
      <c r="AD158" s="1"/>
    </row>
    <row r="159" spans="6:30" x14ac:dyDescent="0.2">
      <c r="F159" s="1"/>
      <c r="G159" s="5"/>
      <c r="H159" s="24" t="s">
        <v>231</v>
      </c>
      <c r="I159" s="24" t="s">
        <v>17</v>
      </c>
      <c r="J159" s="23">
        <v>0.2</v>
      </c>
      <c r="K159" s="25">
        <v>24.45</v>
      </c>
      <c r="L159" s="25">
        <f t="shared" ca="1" si="8"/>
        <v>4.8899999999999997</v>
      </c>
      <c r="M159" s="25">
        <v>4.8899999999999997</v>
      </c>
      <c r="N159" s="35">
        <f t="shared" ca="1" si="7"/>
        <v>0</v>
      </c>
      <c r="O159" s="26" t="s">
        <v>117</v>
      </c>
      <c r="P159" s="1"/>
      <c r="Q159" s="5"/>
      <c r="R159" s="41">
        <v>23364</v>
      </c>
      <c r="S159" s="41">
        <v>7</v>
      </c>
      <c r="T159" s="39" t="s">
        <v>388</v>
      </c>
      <c r="U159" s="40">
        <v>222</v>
      </c>
      <c r="V159" s="40">
        <v>222</v>
      </c>
      <c r="W159" s="40">
        <v>0</v>
      </c>
      <c r="X159" s="44"/>
      <c r="Y159" s="44"/>
      <c r="Z159" s="45"/>
      <c r="AA159" s="44"/>
      <c r="AB159" s="44"/>
      <c r="AC159" s="53" t="s">
        <v>117</v>
      </c>
      <c r="AD159" s="1"/>
    </row>
    <row r="160" spans="6:30" x14ac:dyDescent="0.2">
      <c r="F160" s="1"/>
      <c r="G160" s="5"/>
      <c r="H160" s="24" t="s">
        <v>232</v>
      </c>
      <c r="I160" s="24" t="s">
        <v>17</v>
      </c>
      <c r="J160" s="23">
        <v>0.2</v>
      </c>
      <c r="K160" s="25">
        <v>5400</v>
      </c>
      <c r="L160" s="25">
        <f t="shared" ca="1" si="8"/>
        <v>1080</v>
      </c>
      <c r="M160" s="25">
        <v>1080</v>
      </c>
      <c r="N160" s="35">
        <f t="shared" ca="1" si="7"/>
        <v>0</v>
      </c>
      <c r="O160" s="26" t="s">
        <v>117</v>
      </c>
      <c r="P160" s="1"/>
      <c r="Q160" s="5"/>
      <c r="R160" s="41">
        <v>23364</v>
      </c>
      <c r="S160" s="41">
        <v>9</v>
      </c>
      <c r="T160" s="39" t="s">
        <v>388</v>
      </c>
      <c r="U160" s="40">
        <v>356.78</v>
      </c>
      <c r="V160" s="40">
        <v>356.78</v>
      </c>
      <c r="W160" s="40">
        <v>0</v>
      </c>
      <c r="X160" s="44"/>
      <c r="Y160" s="44"/>
      <c r="Z160" s="45"/>
      <c r="AA160" s="44"/>
      <c r="AB160" s="44"/>
      <c r="AC160" s="53" t="s">
        <v>117</v>
      </c>
      <c r="AD160" s="1"/>
    </row>
    <row r="161" spans="6:30" x14ac:dyDescent="0.2">
      <c r="F161" s="1"/>
      <c r="G161" s="5"/>
      <c r="H161" s="24" t="s">
        <v>233</v>
      </c>
      <c r="I161" s="24" t="s">
        <v>17</v>
      </c>
      <c r="J161" s="23">
        <v>0.2</v>
      </c>
      <c r="K161" s="25">
        <v>105</v>
      </c>
      <c r="L161" s="25">
        <f t="shared" ca="1" si="8"/>
        <v>21</v>
      </c>
      <c r="M161" s="25">
        <v>21</v>
      </c>
      <c r="N161" s="35">
        <f t="shared" ca="1" si="7"/>
        <v>0</v>
      </c>
      <c r="O161" s="26" t="s">
        <v>117</v>
      </c>
      <c r="P161" s="1"/>
      <c r="Q161" s="5"/>
      <c r="R161" s="41">
        <v>57445</v>
      </c>
      <c r="S161" s="41">
        <v>3</v>
      </c>
      <c r="T161" s="39" t="s">
        <v>388</v>
      </c>
      <c r="U161" s="40">
        <v>227.19</v>
      </c>
      <c r="V161" s="40">
        <v>227.19</v>
      </c>
      <c r="W161" s="40">
        <v>0</v>
      </c>
      <c r="X161" s="44"/>
      <c r="Y161" s="44"/>
      <c r="Z161" s="45"/>
      <c r="AA161" s="44"/>
      <c r="AB161" s="44"/>
      <c r="AC161" s="53" t="s">
        <v>117</v>
      </c>
      <c r="AD161" s="1"/>
    </row>
    <row r="162" spans="6:30" x14ac:dyDescent="0.2">
      <c r="F162" s="1"/>
      <c r="G162" s="5"/>
      <c r="H162" s="24" t="s">
        <v>234</v>
      </c>
      <c r="I162" s="24" t="s">
        <v>17</v>
      </c>
      <c r="J162" s="23">
        <v>0.2</v>
      </c>
      <c r="K162" s="25">
        <v>22464.23</v>
      </c>
      <c r="L162" s="25">
        <f t="shared" ca="1" si="8"/>
        <v>4492.8500000000004</v>
      </c>
      <c r="M162" s="25">
        <v>4492.8500000000004</v>
      </c>
      <c r="N162" s="35">
        <f t="shared" ca="1" si="7"/>
        <v>0</v>
      </c>
      <c r="O162" s="26" t="s">
        <v>117</v>
      </c>
      <c r="P162" s="1"/>
      <c r="Q162" s="5"/>
      <c r="R162" s="46" t="s">
        <v>397</v>
      </c>
      <c r="S162" s="46" t="s">
        <v>17</v>
      </c>
      <c r="T162" s="46" t="s">
        <v>388</v>
      </c>
      <c r="U162" s="42">
        <f ca="1">SUM(U158:U161)</f>
        <v>879.97</v>
      </c>
      <c r="V162" s="42">
        <f ca="1">SUM(V158:V161)</f>
        <v>879.97</v>
      </c>
      <c r="W162" s="47">
        <f ca="1">SUM(W158:W161)</f>
        <v>0</v>
      </c>
      <c r="X162" s="42">
        <v>1</v>
      </c>
      <c r="Y162" s="42">
        <f ca="1">W162-X162</f>
        <v>0</v>
      </c>
      <c r="Z162" s="46" t="s">
        <v>437</v>
      </c>
      <c r="AA162" s="42">
        <f ca="1">IF(Z162=$D$15,0,U162)</f>
        <v>879.97</v>
      </c>
      <c r="AB162" s="42">
        <f ca="1">IF(T162="GBP",0,U162)</f>
        <v>0</v>
      </c>
      <c r="AC162" s="54" t="s">
        <v>119</v>
      </c>
      <c r="AD162" s="1"/>
    </row>
    <row r="163" spans="6:30" x14ac:dyDescent="0.2">
      <c r="F163" s="1"/>
      <c r="G163" s="5"/>
      <c r="H163" s="24" t="s">
        <v>235</v>
      </c>
      <c r="I163" s="24" t="s">
        <v>17</v>
      </c>
      <c r="J163" s="23">
        <v>0.2</v>
      </c>
      <c r="K163" s="25">
        <v>1171.05</v>
      </c>
      <c r="L163" s="25">
        <f t="shared" ca="1" si="8"/>
        <v>234.21</v>
      </c>
      <c r="M163" s="25">
        <v>234.21</v>
      </c>
      <c r="N163" s="35">
        <f t="shared" ca="1" si="7"/>
        <v>0</v>
      </c>
      <c r="O163" s="26" t="s">
        <v>117</v>
      </c>
      <c r="P163" s="1"/>
      <c r="Q163" s="5"/>
      <c r="R163" s="41">
        <v>56943</v>
      </c>
      <c r="S163" s="41">
        <v>2</v>
      </c>
      <c r="T163" s="39" t="s">
        <v>388</v>
      </c>
      <c r="U163" s="40">
        <v>234.21</v>
      </c>
      <c r="V163" s="40">
        <v>234.21</v>
      </c>
      <c r="W163" s="40">
        <v>0</v>
      </c>
      <c r="X163" s="44"/>
      <c r="Y163" s="44"/>
      <c r="Z163" s="45"/>
      <c r="AA163" s="44"/>
      <c r="AB163" s="44"/>
      <c r="AC163" s="53" t="s">
        <v>117</v>
      </c>
      <c r="AD163" s="1"/>
    </row>
    <row r="164" spans="6:30" x14ac:dyDescent="0.2">
      <c r="F164" s="1"/>
      <c r="G164" s="5"/>
      <c r="H164" s="24" t="s">
        <v>236</v>
      </c>
      <c r="I164" s="24" t="s">
        <v>17</v>
      </c>
      <c r="J164" s="23">
        <v>0.2</v>
      </c>
      <c r="K164" s="25">
        <v>3263.91</v>
      </c>
      <c r="L164" s="25">
        <f t="shared" ca="1" si="8"/>
        <v>652.78</v>
      </c>
      <c r="M164" s="25">
        <v>652.78</v>
      </c>
      <c r="N164" s="35">
        <f t="shared" ca="1" si="7"/>
        <v>0</v>
      </c>
      <c r="O164" s="26" t="s">
        <v>117</v>
      </c>
      <c r="P164" s="1"/>
      <c r="Q164" s="5"/>
      <c r="R164" s="41">
        <v>57443</v>
      </c>
      <c r="S164" s="41">
        <v>2</v>
      </c>
      <c r="T164" s="39" t="s">
        <v>388</v>
      </c>
      <c r="U164" s="40">
        <v>210.9</v>
      </c>
      <c r="V164" s="40">
        <v>210.9</v>
      </c>
      <c r="W164" s="40">
        <v>0</v>
      </c>
      <c r="X164" s="44"/>
      <c r="Y164" s="44"/>
      <c r="Z164" s="45"/>
      <c r="AA164" s="44"/>
      <c r="AB164" s="44"/>
      <c r="AC164" s="53" t="s">
        <v>117</v>
      </c>
      <c r="AD164" s="1"/>
    </row>
    <row r="165" spans="6:30" x14ac:dyDescent="0.2">
      <c r="F165" s="1"/>
      <c r="G165" s="5"/>
      <c r="H165" s="24" t="s">
        <v>237</v>
      </c>
      <c r="I165" s="24" t="s">
        <v>17</v>
      </c>
      <c r="J165" s="23">
        <v>0.2</v>
      </c>
      <c r="K165" s="25">
        <v>564.94000000000005</v>
      </c>
      <c r="L165" s="25">
        <f t="shared" ca="1" si="8"/>
        <v>112.99</v>
      </c>
      <c r="M165" s="25">
        <v>112.99</v>
      </c>
      <c r="N165" s="35">
        <f t="shared" ca="1" si="7"/>
        <v>0</v>
      </c>
      <c r="O165" s="26" t="s">
        <v>117</v>
      </c>
      <c r="P165" s="1"/>
      <c r="Q165" s="5"/>
      <c r="R165" s="46" t="s">
        <v>398</v>
      </c>
      <c r="S165" s="46" t="s">
        <v>17</v>
      </c>
      <c r="T165" s="46" t="s">
        <v>388</v>
      </c>
      <c r="U165" s="42">
        <f ca="1">SUM(U163:U164)</f>
        <v>445.11</v>
      </c>
      <c r="V165" s="42">
        <f ca="1">SUM(V163:V164)</f>
        <v>445.11</v>
      </c>
      <c r="W165" s="47">
        <f ca="1">SUM(W163:W164)</f>
        <v>0</v>
      </c>
      <c r="X165" s="42">
        <v>1</v>
      </c>
      <c r="Y165" s="42">
        <f ca="1">W165-X165</f>
        <v>0</v>
      </c>
      <c r="Z165" s="46" t="s">
        <v>438</v>
      </c>
      <c r="AA165" s="42">
        <f ca="1">IF(Z165=$D$15,0,U165)</f>
        <v>445.11</v>
      </c>
      <c r="AB165" s="42">
        <f ca="1">IF(T165="GBP",0,U165)</f>
        <v>0</v>
      </c>
      <c r="AC165" s="54" t="s">
        <v>119</v>
      </c>
      <c r="AD165" s="1"/>
    </row>
    <row r="166" spans="6:30" x14ac:dyDescent="0.2">
      <c r="F166" s="1"/>
      <c r="G166" s="5"/>
      <c r="H166" s="24" t="s">
        <v>238</v>
      </c>
      <c r="I166" s="24" t="s">
        <v>17</v>
      </c>
      <c r="J166" s="23">
        <v>0.2</v>
      </c>
      <c r="K166" s="25">
        <v>654.94000000000005</v>
      </c>
      <c r="L166" s="25">
        <f t="shared" ca="1" si="8"/>
        <v>130.99</v>
      </c>
      <c r="M166" s="25">
        <v>130.99</v>
      </c>
      <c r="N166" s="35">
        <f t="shared" ca="1" si="7"/>
        <v>0</v>
      </c>
      <c r="O166" s="26" t="s">
        <v>117</v>
      </c>
      <c r="P166" s="1"/>
      <c r="Q166" s="5"/>
      <c r="R166" s="41">
        <v>57415</v>
      </c>
      <c r="S166" s="41">
        <v>10</v>
      </c>
      <c r="T166" s="39" t="s">
        <v>388</v>
      </c>
      <c r="U166" s="40">
        <v>2371</v>
      </c>
      <c r="V166" s="40">
        <v>2371</v>
      </c>
      <c r="W166" s="40">
        <v>0</v>
      </c>
      <c r="X166" s="44"/>
      <c r="Y166" s="44"/>
      <c r="Z166" s="45"/>
      <c r="AA166" s="44"/>
      <c r="AB166" s="44"/>
      <c r="AC166" s="53" t="s">
        <v>117</v>
      </c>
      <c r="AD166" s="1"/>
    </row>
    <row r="167" spans="6:30" x14ac:dyDescent="0.2">
      <c r="F167" s="1"/>
      <c r="G167" s="5"/>
      <c r="H167" s="24" t="s">
        <v>239</v>
      </c>
      <c r="I167" s="24" t="s">
        <v>17</v>
      </c>
      <c r="J167" s="23">
        <v>0.2</v>
      </c>
      <c r="K167" s="25">
        <v>13950</v>
      </c>
      <c r="L167" s="25">
        <f t="shared" ca="1" si="8"/>
        <v>2790</v>
      </c>
      <c r="M167" s="25">
        <v>2790</v>
      </c>
      <c r="N167" s="35">
        <f t="shared" ca="1" si="7"/>
        <v>0</v>
      </c>
      <c r="O167" s="26" t="s">
        <v>117</v>
      </c>
      <c r="P167" s="1"/>
      <c r="Q167" s="5"/>
      <c r="R167" s="46" t="s">
        <v>399</v>
      </c>
      <c r="S167" s="46" t="s">
        <v>17</v>
      </c>
      <c r="T167" s="46" t="s">
        <v>388</v>
      </c>
      <c r="U167" s="42">
        <f ca="1">SUM(U166:U166)</f>
        <v>2371</v>
      </c>
      <c r="V167" s="42">
        <f ca="1">SUM(V166:V166)</f>
        <v>2371</v>
      </c>
      <c r="W167" s="47">
        <f ca="1">SUM(W166:W166)</f>
        <v>0</v>
      </c>
      <c r="X167" s="42">
        <v>1</v>
      </c>
      <c r="Y167" s="42">
        <f ca="1">W167-X167</f>
        <v>0</v>
      </c>
      <c r="Z167" s="46" t="s">
        <v>433</v>
      </c>
      <c r="AA167" s="42">
        <f ca="1">IF(Z167=$D$15,0,U167)</f>
        <v>0</v>
      </c>
      <c r="AB167" s="42">
        <f ca="1">IF(T167="GBP",0,U167)</f>
        <v>0</v>
      </c>
      <c r="AC167" s="54" t="s">
        <v>119</v>
      </c>
      <c r="AD167" s="1"/>
    </row>
    <row r="168" spans="6:30" x14ac:dyDescent="0.2">
      <c r="F168" s="1"/>
      <c r="G168" s="5"/>
      <c r="H168" s="24" t="s">
        <v>240</v>
      </c>
      <c r="I168" s="24" t="s">
        <v>17</v>
      </c>
      <c r="J168" s="23">
        <v>0.2</v>
      </c>
      <c r="K168" s="25">
        <v>630.01</v>
      </c>
      <c r="L168" s="25">
        <f t="shared" ca="1" si="8"/>
        <v>126</v>
      </c>
      <c r="M168" s="25">
        <v>126</v>
      </c>
      <c r="N168" s="35">
        <f t="shared" ca="1" si="7"/>
        <v>0</v>
      </c>
      <c r="O168" s="26" t="s">
        <v>117</v>
      </c>
      <c r="P168" s="1"/>
      <c r="Q168" s="5"/>
      <c r="R168" s="41">
        <v>10123</v>
      </c>
      <c r="S168" s="41">
        <v>3</v>
      </c>
      <c r="T168" s="39" t="s">
        <v>388</v>
      </c>
      <c r="U168" s="40">
        <v>-5.68</v>
      </c>
      <c r="V168" s="40">
        <v>-5.68</v>
      </c>
      <c r="W168" s="40">
        <v>0</v>
      </c>
      <c r="X168" s="44"/>
      <c r="Y168" s="44"/>
      <c r="Z168" s="45"/>
      <c r="AA168" s="44"/>
      <c r="AB168" s="44"/>
      <c r="AC168" s="53" t="s">
        <v>117</v>
      </c>
      <c r="AD168" s="1"/>
    </row>
    <row r="169" spans="6:30" x14ac:dyDescent="0.2">
      <c r="F169" s="1"/>
      <c r="G169" s="5"/>
      <c r="H169" s="24" t="s">
        <v>241</v>
      </c>
      <c r="I169" s="24" t="s">
        <v>17</v>
      </c>
      <c r="J169" s="23">
        <v>0.2</v>
      </c>
      <c r="K169" s="25">
        <v>630.01</v>
      </c>
      <c r="L169" s="25">
        <f t="shared" ca="1" si="8"/>
        <v>126</v>
      </c>
      <c r="M169" s="25">
        <v>126</v>
      </c>
      <c r="N169" s="35">
        <f t="shared" ca="1" si="7"/>
        <v>0</v>
      </c>
      <c r="O169" s="26" t="s">
        <v>117</v>
      </c>
      <c r="P169" s="1"/>
      <c r="Q169" s="5"/>
      <c r="R169" s="46" t="s">
        <v>400</v>
      </c>
      <c r="S169" s="46" t="s">
        <v>17</v>
      </c>
      <c r="T169" s="46" t="s">
        <v>388</v>
      </c>
      <c r="U169" s="42">
        <f ca="1">SUM(U168:U168)</f>
        <v>-5.68</v>
      </c>
      <c r="V169" s="42">
        <f ca="1">SUM(V168:V168)</f>
        <v>-5.68</v>
      </c>
      <c r="W169" s="47">
        <f ca="1">SUM(W168:W168)</f>
        <v>0</v>
      </c>
      <c r="X169" s="42">
        <v>1</v>
      </c>
      <c r="Y169" s="42">
        <f ca="1">W169-X169</f>
        <v>0</v>
      </c>
      <c r="Z169" s="46" t="s">
        <v>439</v>
      </c>
      <c r="AA169" s="42">
        <f ca="1">IF(Z169=$D$15,0,U169)</f>
        <v>-5.68</v>
      </c>
      <c r="AB169" s="42">
        <f ca="1">IF(T169="GBP",0,U169)</f>
        <v>0</v>
      </c>
      <c r="AC169" s="54" t="s">
        <v>119</v>
      </c>
      <c r="AD169" s="1"/>
    </row>
    <row r="170" spans="6:30" x14ac:dyDescent="0.2">
      <c r="F170" s="1"/>
      <c r="G170" s="5"/>
      <c r="H170" s="24" t="s">
        <v>242</v>
      </c>
      <c r="I170" s="24" t="s">
        <v>17</v>
      </c>
      <c r="J170" s="23">
        <v>0.2</v>
      </c>
      <c r="K170" s="25">
        <v>5000</v>
      </c>
      <c r="L170" s="25">
        <f t="shared" ca="1" si="8"/>
        <v>1000</v>
      </c>
      <c r="M170" s="25">
        <v>1000</v>
      </c>
      <c r="N170" s="35">
        <f t="shared" ca="1" si="7"/>
        <v>0</v>
      </c>
      <c r="O170" s="26" t="s">
        <v>117</v>
      </c>
      <c r="P170" s="1"/>
      <c r="Q170" s="5"/>
      <c r="R170" s="41">
        <v>10103</v>
      </c>
      <c r="S170" s="41">
        <v>9</v>
      </c>
      <c r="T170" s="39" t="s">
        <v>388</v>
      </c>
      <c r="U170" s="40">
        <v>1.6</v>
      </c>
      <c r="V170" s="40">
        <v>1.6</v>
      </c>
      <c r="W170" s="40">
        <v>0</v>
      </c>
      <c r="X170" s="44"/>
      <c r="Y170" s="44"/>
      <c r="Z170" s="45"/>
      <c r="AA170" s="44"/>
      <c r="AB170" s="44"/>
      <c r="AC170" s="53" t="s">
        <v>117</v>
      </c>
      <c r="AD170" s="1"/>
    </row>
    <row r="171" spans="6:30" x14ac:dyDescent="0.2">
      <c r="F171" s="1"/>
      <c r="G171" s="5"/>
      <c r="H171" s="24" t="s">
        <v>243</v>
      </c>
      <c r="I171" s="24" t="s">
        <v>17</v>
      </c>
      <c r="J171" s="23">
        <v>0.2</v>
      </c>
      <c r="K171" s="25">
        <v>300</v>
      </c>
      <c r="L171" s="25">
        <f t="shared" ca="1" si="8"/>
        <v>60</v>
      </c>
      <c r="M171" s="25">
        <v>60</v>
      </c>
      <c r="N171" s="35">
        <f t="shared" ca="1" si="7"/>
        <v>0</v>
      </c>
      <c r="O171" s="26" t="s">
        <v>117</v>
      </c>
      <c r="P171" s="1"/>
      <c r="Q171" s="5"/>
      <c r="R171" s="41">
        <v>10104</v>
      </c>
      <c r="S171" s="41">
        <v>1</v>
      </c>
      <c r="T171" s="39" t="s">
        <v>388</v>
      </c>
      <c r="U171" s="40">
        <v>1.6</v>
      </c>
      <c r="V171" s="40">
        <v>1.6</v>
      </c>
      <c r="W171" s="40">
        <v>0</v>
      </c>
      <c r="X171" s="44"/>
      <c r="Y171" s="44"/>
      <c r="Z171" s="45"/>
      <c r="AA171" s="44"/>
      <c r="AB171" s="44"/>
      <c r="AC171" s="53" t="s">
        <v>117</v>
      </c>
      <c r="AD171" s="1"/>
    </row>
    <row r="172" spans="6:30" x14ac:dyDescent="0.2">
      <c r="F172" s="1"/>
      <c r="G172" s="5"/>
      <c r="H172" s="24" t="s">
        <v>244</v>
      </c>
      <c r="I172" s="24" t="s">
        <v>17</v>
      </c>
      <c r="J172" s="23">
        <v>0.2</v>
      </c>
      <c r="K172" s="25">
        <v>106</v>
      </c>
      <c r="L172" s="25">
        <f t="shared" ca="1" si="8"/>
        <v>21.2</v>
      </c>
      <c r="M172" s="25">
        <v>21.2</v>
      </c>
      <c r="N172" s="35">
        <f t="shared" ca="1" si="7"/>
        <v>0</v>
      </c>
      <c r="O172" s="26" t="s">
        <v>117</v>
      </c>
      <c r="P172" s="1"/>
      <c r="Q172" s="5"/>
      <c r="R172" s="41">
        <v>10122</v>
      </c>
      <c r="S172" s="41">
        <v>1</v>
      </c>
      <c r="T172" s="39" t="s">
        <v>388</v>
      </c>
      <c r="U172" s="40">
        <v>1.6</v>
      </c>
      <c r="V172" s="40">
        <v>1.6</v>
      </c>
      <c r="W172" s="40">
        <v>0</v>
      </c>
      <c r="X172" s="44"/>
      <c r="Y172" s="44"/>
      <c r="Z172" s="45"/>
      <c r="AA172" s="44"/>
      <c r="AB172" s="44"/>
      <c r="AC172" s="53" t="s">
        <v>117</v>
      </c>
      <c r="AD172" s="1"/>
    </row>
    <row r="173" spans="6:30" x14ac:dyDescent="0.2">
      <c r="F173" s="1"/>
      <c r="G173" s="5"/>
      <c r="H173" s="24" t="s">
        <v>159</v>
      </c>
      <c r="I173" s="24" t="s">
        <v>17</v>
      </c>
      <c r="J173" s="23">
        <v>0.2</v>
      </c>
      <c r="K173" s="25">
        <v>10</v>
      </c>
      <c r="L173" s="25">
        <f t="shared" ca="1" si="8"/>
        <v>2</v>
      </c>
      <c r="M173" s="25">
        <v>2</v>
      </c>
      <c r="N173" s="35">
        <f t="shared" ca="1" si="7"/>
        <v>0</v>
      </c>
      <c r="O173" s="26" t="s">
        <v>117</v>
      </c>
      <c r="P173" s="1"/>
      <c r="Q173" s="5"/>
      <c r="R173" s="41">
        <v>57313</v>
      </c>
      <c r="S173" s="41">
        <v>5</v>
      </c>
      <c r="T173" s="39" t="s">
        <v>388</v>
      </c>
      <c r="U173" s="40">
        <v>1.6</v>
      </c>
      <c r="V173" s="40">
        <v>1.6</v>
      </c>
      <c r="W173" s="40">
        <v>0</v>
      </c>
      <c r="X173" s="44"/>
      <c r="Y173" s="44"/>
      <c r="Z173" s="45"/>
      <c r="AA173" s="44"/>
      <c r="AB173" s="44"/>
      <c r="AC173" s="53" t="s">
        <v>117</v>
      </c>
      <c r="AD173" s="1"/>
    </row>
    <row r="174" spans="6:30" x14ac:dyDescent="0.2">
      <c r="F174" s="1"/>
      <c r="G174" s="5"/>
      <c r="H174" s="24" t="s">
        <v>160</v>
      </c>
      <c r="I174" s="24" t="s">
        <v>17</v>
      </c>
      <c r="J174" s="23">
        <v>0.2</v>
      </c>
      <c r="K174" s="25">
        <v>10</v>
      </c>
      <c r="L174" s="25">
        <f t="shared" ca="1" si="8"/>
        <v>2</v>
      </c>
      <c r="M174" s="25">
        <v>2</v>
      </c>
      <c r="N174" s="35">
        <f t="shared" ca="1" si="7"/>
        <v>0</v>
      </c>
      <c r="O174" s="26" t="s">
        <v>117</v>
      </c>
      <c r="P174" s="1"/>
      <c r="Q174" s="5"/>
      <c r="R174" s="41">
        <v>57315</v>
      </c>
      <c r="S174" s="41">
        <v>5</v>
      </c>
      <c r="T174" s="39" t="s">
        <v>388</v>
      </c>
      <c r="U174" s="40">
        <v>1.6</v>
      </c>
      <c r="V174" s="40">
        <v>1.6</v>
      </c>
      <c r="W174" s="40">
        <v>0</v>
      </c>
      <c r="X174" s="44"/>
      <c r="Y174" s="44"/>
      <c r="Z174" s="45"/>
      <c r="AA174" s="44"/>
      <c r="AB174" s="44"/>
      <c r="AC174" s="53" t="s">
        <v>117</v>
      </c>
      <c r="AD174" s="1"/>
    </row>
    <row r="175" spans="6:30" x14ac:dyDescent="0.2">
      <c r="F175" s="1"/>
      <c r="G175" s="5"/>
      <c r="H175" s="24" t="s">
        <v>165</v>
      </c>
      <c r="I175" s="24" t="s">
        <v>17</v>
      </c>
      <c r="J175" s="23">
        <v>0.2</v>
      </c>
      <c r="K175" s="25">
        <v>10</v>
      </c>
      <c r="L175" s="25">
        <f t="shared" ca="1" si="8"/>
        <v>2</v>
      </c>
      <c r="M175" s="25">
        <v>2</v>
      </c>
      <c r="N175" s="35">
        <f t="shared" ca="1" si="7"/>
        <v>0</v>
      </c>
      <c r="O175" s="26" t="s">
        <v>117</v>
      </c>
      <c r="P175" s="1"/>
      <c r="Q175" s="5"/>
      <c r="R175" s="41">
        <v>57317</v>
      </c>
      <c r="S175" s="41">
        <v>5</v>
      </c>
      <c r="T175" s="39" t="s">
        <v>388</v>
      </c>
      <c r="U175" s="40">
        <v>1.6</v>
      </c>
      <c r="V175" s="40">
        <v>1.6</v>
      </c>
      <c r="W175" s="40">
        <v>0</v>
      </c>
      <c r="X175" s="44"/>
      <c r="Y175" s="44"/>
      <c r="Z175" s="45"/>
      <c r="AA175" s="44"/>
      <c r="AB175" s="44"/>
      <c r="AC175" s="53" t="s">
        <v>117</v>
      </c>
      <c r="AD175" s="1"/>
    </row>
    <row r="176" spans="6:30" x14ac:dyDescent="0.2">
      <c r="F176" s="1"/>
      <c r="G176" s="5"/>
      <c r="H176" s="24" t="s">
        <v>245</v>
      </c>
      <c r="I176" s="24" t="s">
        <v>17</v>
      </c>
      <c r="J176" s="23">
        <v>0.2</v>
      </c>
      <c r="K176" s="25">
        <v>24.3</v>
      </c>
      <c r="L176" s="25">
        <f t="shared" ca="1" si="8"/>
        <v>4.8600000000000003</v>
      </c>
      <c r="M176" s="25">
        <v>4.8600000000000003</v>
      </c>
      <c r="N176" s="35">
        <f t="shared" ca="1" si="7"/>
        <v>0</v>
      </c>
      <c r="O176" s="26" t="s">
        <v>117</v>
      </c>
      <c r="P176" s="1"/>
      <c r="Q176" s="5"/>
      <c r="R176" s="41">
        <v>57321</v>
      </c>
      <c r="S176" s="41">
        <v>5</v>
      </c>
      <c r="T176" s="39" t="s">
        <v>388</v>
      </c>
      <c r="U176" s="40">
        <v>1.6</v>
      </c>
      <c r="V176" s="40">
        <v>1.6</v>
      </c>
      <c r="W176" s="40">
        <v>0</v>
      </c>
      <c r="X176" s="44"/>
      <c r="Y176" s="44"/>
      <c r="Z176" s="45"/>
      <c r="AA176" s="44"/>
      <c r="AB176" s="44"/>
      <c r="AC176" s="53" t="s">
        <v>117</v>
      </c>
      <c r="AD176" s="1"/>
    </row>
    <row r="177" spans="6:30" x14ac:dyDescent="0.2">
      <c r="F177" s="1"/>
      <c r="G177" s="5"/>
      <c r="H177" s="24" t="s">
        <v>246</v>
      </c>
      <c r="I177" s="24" t="s">
        <v>17</v>
      </c>
      <c r="J177" s="23">
        <v>0.2</v>
      </c>
      <c r="K177" s="25">
        <v>22.7</v>
      </c>
      <c r="L177" s="25">
        <f t="shared" ca="1" si="8"/>
        <v>4.54</v>
      </c>
      <c r="M177" s="25">
        <v>4.54</v>
      </c>
      <c r="N177" s="35">
        <f t="shared" ca="1" si="7"/>
        <v>0</v>
      </c>
      <c r="O177" s="26" t="s">
        <v>117</v>
      </c>
      <c r="P177" s="1"/>
      <c r="Q177" s="5"/>
      <c r="R177" s="41">
        <v>57322</v>
      </c>
      <c r="S177" s="41">
        <v>5</v>
      </c>
      <c r="T177" s="39" t="s">
        <v>388</v>
      </c>
      <c r="U177" s="40">
        <v>1.6</v>
      </c>
      <c r="V177" s="40">
        <v>1.6</v>
      </c>
      <c r="W177" s="40">
        <v>0</v>
      </c>
      <c r="X177" s="44"/>
      <c r="Y177" s="44"/>
      <c r="Z177" s="45"/>
      <c r="AA177" s="44"/>
      <c r="AB177" s="44"/>
      <c r="AC177" s="53" t="s">
        <v>117</v>
      </c>
      <c r="AD177" s="1"/>
    </row>
    <row r="178" spans="6:30" x14ac:dyDescent="0.2">
      <c r="F178" s="1"/>
      <c r="G178" s="5"/>
      <c r="H178" s="24" t="s">
        <v>247</v>
      </c>
      <c r="I178" s="24" t="s">
        <v>17</v>
      </c>
      <c r="J178" s="23">
        <v>0.2</v>
      </c>
      <c r="K178" s="25">
        <v>-28.38</v>
      </c>
      <c r="L178" s="25">
        <f t="shared" ca="1" si="8"/>
        <v>-5.68</v>
      </c>
      <c r="M178" s="25">
        <v>-5.68</v>
      </c>
      <c r="N178" s="35">
        <f t="shared" ca="1" si="7"/>
        <v>0</v>
      </c>
      <c r="O178" s="26" t="s">
        <v>117</v>
      </c>
      <c r="P178" s="1"/>
      <c r="Q178" s="5"/>
      <c r="R178" s="46" t="s">
        <v>401</v>
      </c>
      <c r="S178" s="46" t="s">
        <v>17</v>
      </c>
      <c r="T178" s="46" t="s">
        <v>388</v>
      </c>
      <c r="U178" s="42">
        <f ca="1">SUM(U170:U177)</f>
        <v>12.799999999999999</v>
      </c>
      <c r="V178" s="42">
        <f ca="1">SUM(V170:V177)</f>
        <v>12.799999999999999</v>
      </c>
      <c r="W178" s="47">
        <f ca="1">SUM(W170:W177)</f>
        <v>0</v>
      </c>
      <c r="X178" s="42">
        <v>1</v>
      </c>
      <c r="Y178" s="42">
        <f ca="1">W178-X178</f>
        <v>0</v>
      </c>
      <c r="Z178" s="46" t="s">
        <v>439</v>
      </c>
      <c r="AA178" s="42">
        <f ca="1">IF(Z178=$D$15,0,U178)</f>
        <v>12.799999999999999</v>
      </c>
      <c r="AB178" s="42">
        <f ca="1">IF(T178="GBP",0,U178)</f>
        <v>0</v>
      </c>
      <c r="AC178" s="54" t="s">
        <v>119</v>
      </c>
      <c r="AD178" s="1"/>
    </row>
    <row r="179" spans="6:30" x14ac:dyDescent="0.2">
      <c r="F179" s="1"/>
      <c r="G179" s="5"/>
      <c r="H179" s="24" t="s">
        <v>248</v>
      </c>
      <c r="I179" s="24" t="s">
        <v>17</v>
      </c>
      <c r="J179" s="23">
        <v>0.2</v>
      </c>
      <c r="K179" s="25">
        <v>6450</v>
      </c>
      <c r="L179" s="25">
        <f t="shared" ca="1" si="8"/>
        <v>1290</v>
      </c>
      <c r="M179" s="25">
        <v>1290</v>
      </c>
      <c r="N179" s="35">
        <f t="shared" ca="1" si="7"/>
        <v>0</v>
      </c>
      <c r="O179" s="26" t="s">
        <v>117</v>
      </c>
      <c r="P179" s="1"/>
      <c r="Q179" s="5"/>
      <c r="R179" s="41">
        <v>10116</v>
      </c>
      <c r="S179" s="41">
        <v>3</v>
      </c>
      <c r="T179" s="39" t="s">
        <v>388</v>
      </c>
      <c r="U179" s="40">
        <v>720</v>
      </c>
      <c r="V179" s="40">
        <v>720</v>
      </c>
      <c r="W179" s="40">
        <v>0</v>
      </c>
      <c r="X179" s="44"/>
      <c r="Y179" s="44"/>
      <c r="Z179" s="45"/>
      <c r="AA179" s="44"/>
      <c r="AB179" s="44"/>
      <c r="AC179" s="53" t="s">
        <v>117</v>
      </c>
      <c r="AD179" s="1"/>
    </row>
    <row r="180" spans="6:30" x14ac:dyDescent="0.2">
      <c r="F180" s="1"/>
      <c r="G180" s="5"/>
      <c r="H180" s="24" t="s">
        <v>249</v>
      </c>
      <c r="I180" s="24" t="s">
        <v>17</v>
      </c>
      <c r="J180" s="23">
        <v>0.2</v>
      </c>
      <c r="K180" s="25">
        <v>76.83</v>
      </c>
      <c r="L180" s="25">
        <f t="shared" ca="1" si="8"/>
        <v>15.37</v>
      </c>
      <c r="M180" s="25">
        <v>15.37</v>
      </c>
      <c r="N180" s="35">
        <f t="shared" ca="1" si="7"/>
        <v>0</v>
      </c>
      <c r="O180" s="26" t="s">
        <v>117</v>
      </c>
      <c r="P180" s="1"/>
      <c r="Q180" s="5"/>
      <c r="R180" s="46" t="s">
        <v>402</v>
      </c>
      <c r="S180" s="46" t="s">
        <v>17</v>
      </c>
      <c r="T180" s="46" t="s">
        <v>388</v>
      </c>
      <c r="U180" s="42">
        <f ca="1">SUM(U179:U179)</f>
        <v>720</v>
      </c>
      <c r="V180" s="42">
        <f ca="1">SUM(V179:V179)</f>
        <v>720</v>
      </c>
      <c r="W180" s="47">
        <f ca="1">SUM(W179:W179)</f>
        <v>0</v>
      </c>
      <c r="X180" s="42">
        <v>1</v>
      </c>
      <c r="Y180" s="42">
        <f ca="1">W180-X180</f>
        <v>0</v>
      </c>
      <c r="Z180" s="46" t="s">
        <v>439</v>
      </c>
      <c r="AA180" s="42">
        <f ca="1">IF(Z180=$D$15,0,U180)</f>
        <v>720</v>
      </c>
      <c r="AB180" s="42">
        <f ca="1">IF(T180="GBP",0,U180)</f>
        <v>0</v>
      </c>
      <c r="AC180" s="54" t="s">
        <v>119</v>
      </c>
      <c r="AD180" s="1"/>
    </row>
    <row r="181" spans="6:30" x14ac:dyDescent="0.2">
      <c r="F181" s="1"/>
      <c r="G181" s="5"/>
      <c r="H181" s="24" t="s">
        <v>250</v>
      </c>
      <c r="I181" s="24" t="s">
        <v>17</v>
      </c>
      <c r="J181" s="23">
        <v>0.2</v>
      </c>
      <c r="K181" s="25">
        <v>247.12</v>
      </c>
      <c r="L181" s="25">
        <f t="shared" ca="1" si="8"/>
        <v>49.42</v>
      </c>
      <c r="M181" s="25">
        <v>49.42</v>
      </c>
      <c r="N181" s="35">
        <f t="shared" ca="1" si="7"/>
        <v>0</v>
      </c>
      <c r="O181" s="26" t="s">
        <v>117</v>
      </c>
      <c r="P181" s="1"/>
      <c r="Q181" s="5"/>
      <c r="R181" s="41">
        <v>10103</v>
      </c>
      <c r="S181" s="41">
        <v>10</v>
      </c>
      <c r="T181" s="39" t="s">
        <v>388</v>
      </c>
      <c r="U181" s="40">
        <v>0.4</v>
      </c>
      <c r="V181" s="40">
        <v>0.4</v>
      </c>
      <c r="W181" s="40">
        <v>0</v>
      </c>
      <c r="X181" s="44"/>
      <c r="Y181" s="44"/>
      <c r="Z181" s="45"/>
      <c r="AA181" s="44"/>
      <c r="AB181" s="44"/>
      <c r="AC181" s="53" t="s">
        <v>117</v>
      </c>
      <c r="AD181" s="1"/>
    </row>
    <row r="182" spans="6:30" x14ac:dyDescent="0.2">
      <c r="F182" s="1"/>
      <c r="G182" s="5"/>
      <c r="H182" s="24" t="s">
        <v>166</v>
      </c>
      <c r="I182" s="24" t="s">
        <v>17</v>
      </c>
      <c r="J182" s="23">
        <v>0.2</v>
      </c>
      <c r="K182" s="25">
        <v>251.76</v>
      </c>
      <c r="L182" s="25">
        <f t="shared" ca="1" si="8"/>
        <v>50.35</v>
      </c>
      <c r="M182" s="25">
        <v>50.35</v>
      </c>
      <c r="N182" s="35">
        <f t="shared" ca="1" si="7"/>
        <v>0</v>
      </c>
      <c r="O182" s="26" t="s">
        <v>117</v>
      </c>
      <c r="P182" s="1"/>
      <c r="Q182" s="5"/>
      <c r="R182" s="41">
        <v>10104</v>
      </c>
      <c r="S182" s="41">
        <v>2</v>
      </c>
      <c r="T182" s="39" t="s">
        <v>388</v>
      </c>
      <c r="U182" s="40">
        <v>0.4</v>
      </c>
      <c r="V182" s="40">
        <v>0.4</v>
      </c>
      <c r="W182" s="40">
        <v>0</v>
      </c>
      <c r="X182" s="44"/>
      <c r="Y182" s="44"/>
      <c r="Z182" s="45"/>
      <c r="AA182" s="44"/>
      <c r="AB182" s="44"/>
      <c r="AC182" s="53" t="s">
        <v>117</v>
      </c>
      <c r="AD182" s="1"/>
    </row>
    <row r="183" spans="6:30" x14ac:dyDescent="0.2">
      <c r="F183" s="1"/>
      <c r="G183" s="5"/>
      <c r="H183" s="24" t="s">
        <v>167</v>
      </c>
      <c r="I183" s="24" t="s">
        <v>17</v>
      </c>
      <c r="J183" s="23">
        <v>0.2</v>
      </c>
      <c r="K183" s="25">
        <v>684.13</v>
      </c>
      <c r="L183" s="25">
        <f t="shared" ca="1" si="8"/>
        <v>136.83000000000001</v>
      </c>
      <c r="M183" s="25">
        <v>136.82</v>
      </c>
      <c r="N183" s="35">
        <f t="shared" ca="1" si="7"/>
        <v>0</v>
      </c>
      <c r="O183" s="26" t="s">
        <v>117</v>
      </c>
      <c r="P183" s="1"/>
      <c r="Q183" s="5"/>
      <c r="R183" s="41">
        <v>10122</v>
      </c>
      <c r="S183" s="41">
        <v>2</v>
      </c>
      <c r="T183" s="39" t="s">
        <v>388</v>
      </c>
      <c r="U183" s="40">
        <v>0.4</v>
      </c>
      <c r="V183" s="40">
        <v>0.4</v>
      </c>
      <c r="W183" s="40">
        <v>0</v>
      </c>
      <c r="X183" s="44"/>
      <c r="Y183" s="44"/>
      <c r="Z183" s="45"/>
      <c r="AA183" s="44"/>
      <c r="AB183" s="44"/>
      <c r="AC183" s="53" t="s">
        <v>117</v>
      </c>
      <c r="AD183" s="1"/>
    </row>
    <row r="184" spans="6:30" x14ac:dyDescent="0.2">
      <c r="F184" s="1"/>
      <c r="G184" s="5"/>
      <c r="H184" s="24" t="s">
        <v>168</v>
      </c>
      <c r="I184" s="24" t="s">
        <v>17</v>
      </c>
      <c r="J184" s="23">
        <v>0.2</v>
      </c>
      <c r="K184" s="25">
        <v>238.89</v>
      </c>
      <c r="L184" s="25">
        <f t="shared" ca="1" si="8"/>
        <v>47.78</v>
      </c>
      <c r="M184" s="25">
        <v>47.77</v>
      </c>
      <c r="N184" s="35">
        <f t="shared" ca="1" si="7"/>
        <v>0</v>
      </c>
      <c r="O184" s="26" t="s">
        <v>117</v>
      </c>
      <c r="P184" s="1"/>
      <c r="Q184" s="5"/>
      <c r="R184" s="41">
        <v>57313</v>
      </c>
      <c r="S184" s="41">
        <v>6</v>
      </c>
      <c r="T184" s="39" t="s">
        <v>388</v>
      </c>
      <c r="U184" s="40">
        <v>0.4</v>
      </c>
      <c r="V184" s="40">
        <v>0.4</v>
      </c>
      <c r="W184" s="40">
        <v>0</v>
      </c>
      <c r="X184" s="44"/>
      <c r="Y184" s="44"/>
      <c r="Z184" s="45"/>
      <c r="AA184" s="44"/>
      <c r="AB184" s="44"/>
      <c r="AC184" s="53" t="s">
        <v>117</v>
      </c>
      <c r="AD184" s="1"/>
    </row>
    <row r="185" spans="6:30" x14ac:dyDescent="0.2">
      <c r="F185" s="1"/>
      <c r="G185" s="5"/>
      <c r="H185" s="24" t="s">
        <v>251</v>
      </c>
      <c r="I185" s="24" t="s">
        <v>17</v>
      </c>
      <c r="J185" s="23">
        <v>0.2</v>
      </c>
      <c r="K185" s="25">
        <v>621.36</v>
      </c>
      <c r="L185" s="25">
        <f t="shared" ref="L185:L216" ca="1" si="9">ROUND(J185*K185,2)</f>
        <v>124.27</v>
      </c>
      <c r="M185" s="25">
        <v>124.27</v>
      </c>
      <c r="N185" s="35">
        <f t="shared" ca="1" si="7"/>
        <v>0</v>
      </c>
      <c r="O185" s="26" t="s">
        <v>117</v>
      </c>
      <c r="P185" s="1"/>
      <c r="Q185" s="5"/>
      <c r="R185" s="41">
        <v>57315</v>
      </c>
      <c r="S185" s="41">
        <v>6</v>
      </c>
      <c r="T185" s="39" t="s">
        <v>388</v>
      </c>
      <c r="U185" s="40">
        <v>0.4</v>
      </c>
      <c r="V185" s="40">
        <v>0.4</v>
      </c>
      <c r="W185" s="40">
        <v>0</v>
      </c>
      <c r="X185" s="44"/>
      <c r="Y185" s="44"/>
      <c r="Z185" s="45"/>
      <c r="AA185" s="44"/>
      <c r="AB185" s="44"/>
      <c r="AC185" s="53" t="s">
        <v>117</v>
      </c>
      <c r="AD185" s="1"/>
    </row>
    <row r="186" spans="6:30" x14ac:dyDescent="0.2">
      <c r="F186" s="1"/>
      <c r="G186" s="5"/>
      <c r="H186" s="24" t="s">
        <v>252</v>
      </c>
      <c r="I186" s="24" t="s">
        <v>17</v>
      </c>
      <c r="J186" s="23">
        <v>0.2</v>
      </c>
      <c r="K186" s="25">
        <v>6000</v>
      </c>
      <c r="L186" s="25">
        <f t="shared" ca="1" si="9"/>
        <v>1200</v>
      </c>
      <c r="M186" s="25">
        <v>1200</v>
      </c>
      <c r="N186" s="35">
        <f t="shared" ca="1" si="7"/>
        <v>0</v>
      </c>
      <c r="O186" s="26" t="s">
        <v>117</v>
      </c>
      <c r="P186" s="1"/>
      <c r="Q186" s="5"/>
      <c r="R186" s="41">
        <v>57317</v>
      </c>
      <c r="S186" s="41">
        <v>6</v>
      </c>
      <c r="T186" s="39" t="s">
        <v>388</v>
      </c>
      <c r="U186" s="40">
        <v>0.4</v>
      </c>
      <c r="V186" s="40">
        <v>0.4</v>
      </c>
      <c r="W186" s="40">
        <v>0</v>
      </c>
      <c r="X186" s="44"/>
      <c r="Y186" s="44"/>
      <c r="Z186" s="45"/>
      <c r="AA186" s="44"/>
      <c r="AB186" s="44"/>
      <c r="AC186" s="53" t="s">
        <v>117</v>
      </c>
      <c r="AD186" s="1"/>
    </row>
    <row r="187" spans="6:30" x14ac:dyDescent="0.2">
      <c r="F187" s="1"/>
      <c r="G187" s="5"/>
      <c r="H187" s="24" t="s">
        <v>253</v>
      </c>
      <c r="I187" s="24" t="s">
        <v>17</v>
      </c>
      <c r="J187" s="23">
        <v>0.2</v>
      </c>
      <c r="K187" s="25">
        <v>2750</v>
      </c>
      <c r="L187" s="25">
        <f t="shared" ca="1" si="9"/>
        <v>550</v>
      </c>
      <c r="M187" s="25">
        <v>550</v>
      </c>
      <c r="N187" s="35">
        <f t="shared" ca="1" si="7"/>
        <v>0</v>
      </c>
      <c r="O187" s="26" t="s">
        <v>117</v>
      </c>
      <c r="P187" s="1"/>
      <c r="Q187" s="5"/>
      <c r="R187" s="41">
        <v>57321</v>
      </c>
      <c r="S187" s="41">
        <v>6</v>
      </c>
      <c r="T187" s="39" t="s">
        <v>388</v>
      </c>
      <c r="U187" s="40">
        <v>0.4</v>
      </c>
      <c r="V187" s="40">
        <v>0.4</v>
      </c>
      <c r="W187" s="40">
        <v>0</v>
      </c>
      <c r="X187" s="44"/>
      <c r="Y187" s="44"/>
      <c r="Z187" s="45"/>
      <c r="AA187" s="44"/>
      <c r="AB187" s="44"/>
      <c r="AC187" s="53" t="s">
        <v>117</v>
      </c>
      <c r="AD187" s="1"/>
    </row>
    <row r="188" spans="6:30" x14ac:dyDescent="0.2">
      <c r="F188" s="1"/>
      <c r="G188" s="5"/>
      <c r="H188" s="24" t="s">
        <v>254</v>
      </c>
      <c r="I188" s="24" t="s">
        <v>17</v>
      </c>
      <c r="J188" s="23">
        <v>0.2</v>
      </c>
      <c r="K188" s="25">
        <v>-2750</v>
      </c>
      <c r="L188" s="25">
        <f t="shared" ca="1" si="9"/>
        <v>-550</v>
      </c>
      <c r="M188" s="25">
        <v>-550</v>
      </c>
      <c r="N188" s="35">
        <f t="shared" ca="1" si="7"/>
        <v>0</v>
      </c>
      <c r="O188" s="26" t="s">
        <v>117</v>
      </c>
      <c r="P188" s="1"/>
      <c r="Q188" s="5"/>
      <c r="R188" s="41">
        <v>57322</v>
      </c>
      <c r="S188" s="41">
        <v>6</v>
      </c>
      <c r="T188" s="39" t="s">
        <v>388</v>
      </c>
      <c r="U188" s="40">
        <v>0.4</v>
      </c>
      <c r="V188" s="40">
        <v>0.4</v>
      </c>
      <c r="W188" s="40">
        <v>0</v>
      </c>
      <c r="X188" s="44"/>
      <c r="Y188" s="44"/>
      <c r="Z188" s="45"/>
      <c r="AA188" s="44"/>
      <c r="AB188" s="44"/>
      <c r="AC188" s="53" t="s">
        <v>117</v>
      </c>
      <c r="AD188" s="1"/>
    </row>
    <row r="189" spans="6:30" x14ac:dyDescent="0.2">
      <c r="F189" s="1"/>
      <c r="G189" s="5"/>
      <c r="H189" s="24" t="s">
        <v>255</v>
      </c>
      <c r="I189" s="24" t="s">
        <v>17</v>
      </c>
      <c r="J189" s="23">
        <v>0.2</v>
      </c>
      <c r="K189" s="25">
        <v>1250</v>
      </c>
      <c r="L189" s="25">
        <f t="shared" ca="1" si="9"/>
        <v>250</v>
      </c>
      <c r="M189" s="25">
        <v>250</v>
      </c>
      <c r="N189" s="35">
        <f t="shared" ca="1" si="7"/>
        <v>0</v>
      </c>
      <c r="O189" s="26" t="s">
        <v>117</v>
      </c>
      <c r="P189" s="1"/>
      <c r="Q189" s="5"/>
      <c r="R189" s="46" t="s">
        <v>403</v>
      </c>
      <c r="S189" s="46" t="s">
        <v>17</v>
      </c>
      <c r="T189" s="46" t="s">
        <v>388</v>
      </c>
      <c r="U189" s="42">
        <f ca="1">SUM(U181:U188)</f>
        <v>3.1999999999999997</v>
      </c>
      <c r="V189" s="42">
        <f ca="1">SUM(V181:V188)</f>
        <v>3.1999999999999997</v>
      </c>
      <c r="W189" s="47">
        <f ca="1">SUM(W181:W188)</f>
        <v>0</v>
      </c>
      <c r="X189" s="42">
        <v>1</v>
      </c>
      <c r="Y189" s="42">
        <f ca="1">W189-X189</f>
        <v>0</v>
      </c>
      <c r="Z189" s="46" t="s">
        <v>439</v>
      </c>
      <c r="AA189" s="42">
        <f ca="1">IF(Z189=$D$15,0,U189)</f>
        <v>3.1999999999999997</v>
      </c>
      <c r="AB189" s="42">
        <f ca="1">IF(T189="GBP",0,U189)</f>
        <v>0</v>
      </c>
      <c r="AC189" s="54" t="s">
        <v>119</v>
      </c>
      <c r="AD189" s="1"/>
    </row>
    <row r="190" spans="6:30" x14ac:dyDescent="0.2">
      <c r="F190" s="1"/>
      <c r="G190" s="5"/>
      <c r="H190" s="24" t="s">
        <v>256</v>
      </c>
      <c r="I190" s="24" t="s">
        <v>17</v>
      </c>
      <c r="J190" s="23">
        <v>0.2</v>
      </c>
      <c r="K190" s="25">
        <v>60</v>
      </c>
      <c r="L190" s="25">
        <f t="shared" ca="1" si="9"/>
        <v>12</v>
      </c>
      <c r="M190" s="25">
        <v>12</v>
      </c>
      <c r="N190" s="35">
        <f t="shared" ca="1" si="7"/>
        <v>0</v>
      </c>
      <c r="O190" s="26" t="s">
        <v>117</v>
      </c>
      <c r="P190" s="1"/>
      <c r="Q190" s="5"/>
      <c r="R190" s="41">
        <v>57212</v>
      </c>
      <c r="S190" s="41">
        <v>2</v>
      </c>
      <c r="T190" s="39" t="s">
        <v>388</v>
      </c>
      <c r="U190" s="40">
        <v>3.52</v>
      </c>
      <c r="V190" s="40">
        <v>3.52</v>
      </c>
      <c r="W190" s="40">
        <v>0</v>
      </c>
      <c r="X190" s="44"/>
      <c r="Y190" s="44"/>
      <c r="Z190" s="45"/>
      <c r="AA190" s="44"/>
      <c r="AB190" s="44"/>
      <c r="AC190" s="53" t="s">
        <v>117</v>
      </c>
      <c r="AD190" s="1"/>
    </row>
    <row r="191" spans="6:30" x14ac:dyDescent="0.2">
      <c r="F191" s="1"/>
      <c r="G191" s="5"/>
      <c r="H191" s="24" t="s">
        <v>257</v>
      </c>
      <c r="I191" s="24" t="s">
        <v>17</v>
      </c>
      <c r="J191" s="23">
        <v>0.2</v>
      </c>
      <c r="K191" s="25">
        <v>1961.6</v>
      </c>
      <c r="L191" s="25">
        <f t="shared" ca="1" si="9"/>
        <v>392.32</v>
      </c>
      <c r="M191" s="25">
        <v>392.32</v>
      </c>
      <c r="N191" s="35">
        <f t="shared" ca="1" si="7"/>
        <v>0</v>
      </c>
      <c r="O191" s="26" t="s">
        <v>117</v>
      </c>
      <c r="P191" s="1"/>
      <c r="Q191" s="5"/>
      <c r="R191" s="41">
        <v>57266</v>
      </c>
      <c r="S191" s="41">
        <v>2</v>
      </c>
      <c r="T191" s="39" t="s">
        <v>388</v>
      </c>
      <c r="U191" s="40">
        <v>21.92</v>
      </c>
      <c r="V191" s="40">
        <v>21.92</v>
      </c>
      <c r="W191" s="40">
        <v>0</v>
      </c>
      <c r="X191" s="44"/>
      <c r="Y191" s="44"/>
      <c r="Z191" s="45"/>
      <c r="AA191" s="44"/>
      <c r="AB191" s="44"/>
      <c r="AC191" s="53" t="s">
        <v>117</v>
      </c>
      <c r="AD191" s="1"/>
    </row>
    <row r="192" spans="6:30" x14ac:dyDescent="0.2">
      <c r="F192" s="1"/>
      <c r="G192" s="5"/>
      <c r="H192" s="24" t="s">
        <v>258</v>
      </c>
      <c r="I192" s="24" t="s">
        <v>17</v>
      </c>
      <c r="J192" s="23">
        <v>0.2</v>
      </c>
      <c r="K192" s="25">
        <v>301.95999999999998</v>
      </c>
      <c r="L192" s="25">
        <f t="shared" ca="1" si="9"/>
        <v>60.39</v>
      </c>
      <c r="M192" s="25">
        <v>60.39</v>
      </c>
      <c r="N192" s="35">
        <f t="shared" ca="1" si="7"/>
        <v>0</v>
      </c>
      <c r="O192" s="26" t="s">
        <v>117</v>
      </c>
      <c r="P192" s="1"/>
      <c r="Q192" s="5"/>
      <c r="R192" s="41">
        <v>57312</v>
      </c>
      <c r="S192" s="41">
        <v>2</v>
      </c>
      <c r="T192" s="39" t="s">
        <v>388</v>
      </c>
      <c r="U192" s="40">
        <v>287.54000000000002</v>
      </c>
      <c r="V192" s="40">
        <v>287.54000000000002</v>
      </c>
      <c r="W192" s="40">
        <v>0</v>
      </c>
      <c r="X192" s="44"/>
      <c r="Y192" s="44"/>
      <c r="Z192" s="45"/>
      <c r="AA192" s="44"/>
      <c r="AB192" s="44"/>
      <c r="AC192" s="53" t="s">
        <v>117</v>
      </c>
      <c r="AD192" s="1"/>
    </row>
    <row r="193" spans="6:30" x14ac:dyDescent="0.2">
      <c r="F193" s="1"/>
      <c r="G193" s="5"/>
      <c r="H193" s="24" t="s">
        <v>259</v>
      </c>
      <c r="I193" s="24" t="s">
        <v>17</v>
      </c>
      <c r="J193" s="23">
        <v>0.2</v>
      </c>
      <c r="K193" s="25">
        <v>108.49</v>
      </c>
      <c r="L193" s="25">
        <f t="shared" ca="1" si="9"/>
        <v>21.7</v>
      </c>
      <c r="M193" s="25">
        <v>21.7</v>
      </c>
      <c r="N193" s="35">
        <f t="shared" ca="1" si="7"/>
        <v>0</v>
      </c>
      <c r="O193" s="26" t="s">
        <v>117</v>
      </c>
      <c r="P193" s="1"/>
      <c r="Q193" s="5"/>
      <c r="R193" s="41">
        <v>57326</v>
      </c>
      <c r="S193" s="41">
        <v>2</v>
      </c>
      <c r="T193" s="39" t="s">
        <v>388</v>
      </c>
      <c r="U193" s="40">
        <v>126</v>
      </c>
      <c r="V193" s="40">
        <v>126</v>
      </c>
      <c r="W193" s="40">
        <v>0</v>
      </c>
      <c r="X193" s="44"/>
      <c r="Y193" s="44"/>
      <c r="Z193" s="45"/>
      <c r="AA193" s="44"/>
      <c r="AB193" s="44"/>
      <c r="AC193" s="53" t="s">
        <v>117</v>
      </c>
      <c r="AD193" s="1"/>
    </row>
    <row r="194" spans="6:30" x14ac:dyDescent="0.2">
      <c r="F194" s="1"/>
      <c r="G194" s="5"/>
      <c r="H194" s="24" t="s">
        <v>260</v>
      </c>
      <c r="I194" s="24" t="s">
        <v>17</v>
      </c>
      <c r="J194" s="23">
        <v>0.2</v>
      </c>
      <c r="K194" s="25">
        <v>211.37</v>
      </c>
      <c r="L194" s="25">
        <f t="shared" ca="1" si="9"/>
        <v>42.27</v>
      </c>
      <c r="M194" s="25">
        <v>42.27</v>
      </c>
      <c r="N194" s="35">
        <f t="shared" ca="1" si="7"/>
        <v>0</v>
      </c>
      <c r="O194" s="26" t="s">
        <v>117</v>
      </c>
      <c r="P194" s="1"/>
      <c r="Q194" s="5"/>
      <c r="R194" s="41">
        <v>57328</v>
      </c>
      <c r="S194" s="41">
        <v>2</v>
      </c>
      <c r="T194" s="39" t="s">
        <v>388</v>
      </c>
      <c r="U194" s="40">
        <v>126</v>
      </c>
      <c r="V194" s="40">
        <v>126</v>
      </c>
      <c r="W194" s="40">
        <v>0</v>
      </c>
      <c r="X194" s="44"/>
      <c r="Y194" s="44"/>
      <c r="Z194" s="45"/>
      <c r="AA194" s="44"/>
      <c r="AB194" s="44"/>
      <c r="AC194" s="53" t="s">
        <v>117</v>
      </c>
      <c r="AD194" s="1"/>
    </row>
    <row r="195" spans="6:30" x14ac:dyDescent="0.2">
      <c r="F195" s="1"/>
      <c r="G195" s="5"/>
      <c r="H195" s="24" t="s">
        <v>261</v>
      </c>
      <c r="I195" s="24" t="s">
        <v>17</v>
      </c>
      <c r="J195" s="23">
        <v>0.2</v>
      </c>
      <c r="K195" s="25">
        <v>455.2</v>
      </c>
      <c r="L195" s="25">
        <f t="shared" ca="1" si="9"/>
        <v>91.04</v>
      </c>
      <c r="M195" s="25">
        <v>91.04</v>
      </c>
      <c r="N195" s="35">
        <f t="shared" ca="1" si="7"/>
        <v>0</v>
      </c>
      <c r="O195" s="26" t="s">
        <v>117</v>
      </c>
      <c r="P195" s="1"/>
      <c r="Q195" s="5"/>
      <c r="R195" s="41">
        <v>57399</v>
      </c>
      <c r="S195" s="41">
        <v>2</v>
      </c>
      <c r="T195" s="39" t="s">
        <v>388</v>
      </c>
      <c r="U195" s="40">
        <v>41.34</v>
      </c>
      <c r="V195" s="40">
        <v>41.34</v>
      </c>
      <c r="W195" s="40">
        <v>0</v>
      </c>
      <c r="X195" s="44"/>
      <c r="Y195" s="44"/>
      <c r="Z195" s="45"/>
      <c r="AA195" s="44"/>
      <c r="AB195" s="44"/>
      <c r="AC195" s="53" t="s">
        <v>117</v>
      </c>
      <c r="AD195" s="1"/>
    </row>
    <row r="196" spans="6:30" x14ac:dyDescent="0.2">
      <c r="F196" s="1"/>
      <c r="G196" s="5"/>
      <c r="H196" s="24" t="s">
        <v>169</v>
      </c>
      <c r="I196" s="24" t="s">
        <v>17</v>
      </c>
      <c r="J196" s="23">
        <v>0.2</v>
      </c>
      <c r="K196" s="25">
        <v>481.77</v>
      </c>
      <c r="L196" s="25">
        <f t="shared" ca="1" si="9"/>
        <v>96.35</v>
      </c>
      <c r="M196" s="25"/>
      <c r="N196" s="35">
        <f t="shared" ca="1" si="7"/>
        <v>1</v>
      </c>
      <c r="O196" s="26" t="s">
        <v>117</v>
      </c>
      <c r="P196" s="1"/>
      <c r="Q196" s="5"/>
      <c r="R196" s="41">
        <v>57400</v>
      </c>
      <c r="S196" s="41">
        <v>2</v>
      </c>
      <c r="T196" s="39" t="s">
        <v>388</v>
      </c>
      <c r="U196" s="40">
        <v>41.34</v>
      </c>
      <c r="V196" s="40">
        <v>41.34</v>
      </c>
      <c r="W196" s="40">
        <v>0</v>
      </c>
      <c r="X196" s="44"/>
      <c r="Y196" s="44"/>
      <c r="Z196" s="45"/>
      <c r="AA196" s="44"/>
      <c r="AB196" s="44"/>
      <c r="AC196" s="53" t="s">
        <v>117</v>
      </c>
      <c r="AD196" s="1"/>
    </row>
    <row r="197" spans="6:30" x14ac:dyDescent="0.2">
      <c r="F197" s="1"/>
      <c r="G197" s="5"/>
      <c r="H197" s="24" t="s">
        <v>262</v>
      </c>
      <c r="I197" s="24" t="s">
        <v>17</v>
      </c>
      <c r="J197" s="23">
        <v>0.2</v>
      </c>
      <c r="K197" s="25"/>
      <c r="L197" s="25">
        <f t="shared" ca="1" si="9"/>
        <v>0</v>
      </c>
      <c r="M197" s="25">
        <v>6863.92</v>
      </c>
      <c r="N197" s="35">
        <f t="shared" ca="1" si="7"/>
        <v>1</v>
      </c>
      <c r="O197" s="26" t="s">
        <v>117</v>
      </c>
      <c r="P197" s="1"/>
      <c r="Q197" s="5"/>
      <c r="R197" s="41">
        <v>57408</v>
      </c>
      <c r="S197" s="41">
        <v>2</v>
      </c>
      <c r="T197" s="39" t="s">
        <v>388</v>
      </c>
      <c r="U197" s="40">
        <v>5.22</v>
      </c>
      <c r="V197" s="40">
        <v>5.22</v>
      </c>
      <c r="W197" s="40">
        <v>0</v>
      </c>
      <c r="X197" s="44"/>
      <c r="Y197" s="44"/>
      <c r="Z197" s="45"/>
      <c r="AA197" s="44"/>
      <c r="AB197" s="44"/>
      <c r="AC197" s="53" t="s">
        <v>117</v>
      </c>
      <c r="AD197" s="1"/>
    </row>
    <row r="198" spans="6:30" x14ac:dyDescent="0.2">
      <c r="F198" s="1"/>
      <c r="G198" s="5"/>
      <c r="H198" s="24" t="s">
        <v>263</v>
      </c>
      <c r="I198" s="24" t="s">
        <v>17</v>
      </c>
      <c r="J198" s="23">
        <v>0.2</v>
      </c>
      <c r="K198" s="25">
        <v>165</v>
      </c>
      <c r="L198" s="25">
        <f t="shared" ca="1" si="9"/>
        <v>33</v>
      </c>
      <c r="M198" s="25">
        <v>33</v>
      </c>
      <c r="N198" s="35">
        <f t="shared" ca="1" si="7"/>
        <v>0</v>
      </c>
      <c r="O198" s="26" t="s">
        <v>117</v>
      </c>
      <c r="P198" s="1"/>
      <c r="Q198" s="5"/>
      <c r="R198" s="41">
        <v>57411</v>
      </c>
      <c r="S198" s="41">
        <v>2</v>
      </c>
      <c r="T198" s="39" t="s">
        <v>388</v>
      </c>
      <c r="U198" s="40">
        <v>9.6</v>
      </c>
      <c r="V198" s="40">
        <v>9.6</v>
      </c>
      <c r="W198" s="40">
        <v>0</v>
      </c>
      <c r="X198" s="44"/>
      <c r="Y198" s="44"/>
      <c r="Z198" s="45"/>
      <c r="AA198" s="44"/>
      <c r="AB198" s="44"/>
      <c r="AC198" s="53" t="s">
        <v>117</v>
      </c>
      <c r="AD198" s="1"/>
    </row>
    <row r="199" spans="6:30" x14ac:dyDescent="0.2">
      <c r="F199" s="1"/>
      <c r="G199" s="5"/>
      <c r="H199" s="24" t="s">
        <v>264</v>
      </c>
      <c r="I199" s="24" t="s">
        <v>17</v>
      </c>
      <c r="J199" s="23">
        <v>0.2</v>
      </c>
      <c r="K199" s="25">
        <v>239</v>
      </c>
      <c r="L199" s="25">
        <f t="shared" ca="1" si="9"/>
        <v>47.8</v>
      </c>
      <c r="M199" s="25">
        <v>47.8</v>
      </c>
      <c r="N199" s="35">
        <f t="shared" ca="1" si="7"/>
        <v>0</v>
      </c>
      <c r="O199" s="26" t="s">
        <v>117</v>
      </c>
      <c r="P199" s="1"/>
      <c r="Q199" s="5"/>
      <c r="R199" s="41">
        <v>57412</v>
      </c>
      <c r="S199" s="41">
        <v>2</v>
      </c>
      <c r="T199" s="39" t="s">
        <v>388</v>
      </c>
      <c r="U199" s="40">
        <v>7.26</v>
      </c>
      <c r="V199" s="40">
        <v>7.26</v>
      </c>
      <c r="W199" s="40">
        <v>0</v>
      </c>
      <c r="X199" s="44"/>
      <c r="Y199" s="44"/>
      <c r="Z199" s="45"/>
      <c r="AA199" s="44"/>
      <c r="AB199" s="44"/>
      <c r="AC199" s="53" t="s">
        <v>117</v>
      </c>
      <c r="AD199" s="1"/>
    </row>
    <row r="200" spans="6:30" x14ac:dyDescent="0.2">
      <c r="F200" s="1"/>
      <c r="G200" s="5"/>
      <c r="H200" s="24" t="s">
        <v>265</v>
      </c>
      <c r="I200" s="24" t="s">
        <v>17</v>
      </c>
      <c r="J200" s="23">
        <v>0.2</v>
      </c>
      <c r="K200" s="25">
        <v>239</v>
      </c>
      <c r="L200" s="25">
        <f t="shared" ca="1" si="9"/>
        <v>47.8</v>
      </c>
      <c r="M200" s="25">
        <v>47.8</v>
      </c>
      <c r="N200" s="35">
        <f t="shared" ca="1" si="7"/>
        <v>0</v>
      </c>
      <c r="O200" s="26" t="s">
        <v>117</v>
      </c>
      <c r="P200" s="1"/>
      <c r="Q200" s="5"/>
      <c r="R200" s="41">
        <v>57420</v>
      </c>
      <c r="S200" s="41">
        <v>2</v>
      </c>
      <c r="T200" s="39" t="s">
        <v>388</v>
      </c>
      <c r="U200" s="40">
        <v>21.98</v>
      </c>
      <c r="V200" s="40">
        <v>21.98</v>
      </c>
      <c r="W200" s="40">
        <v>0</v>
      </c>
      <c r="X200" s="44"/>
      <c r="Y200" s="44"/>
      <c r="Z200" s="45"/>
      <c r="AA200" s="44"/>
      <c r="AB200" s="44"/>
      <c r="AC200" s="53" t="s">
        <v>117</v>
      </c>
      <c r="AD200" s="1"/>
    </row>
    <row r="201" spans="6:30" x14ac:dyDescent="0.2">
      <c r="F201" s="1"/>
      <c r="G201" s="5"/>
      <c r="H201" s="24" t="s">
        <v>266</v>
      </c>
      <c r="I201" s="24" t="s">
        <v>17</v>
      </c>
      <c r="J201" s="23">
        <v>0.2</v>
      </c>
      <c r="K201" s="25">
        <v>353.88</v>
      </c>
      <c r="L201" s="25">
        <f t="shared" ca="1" si="9"/>
        <v>70.78</v>
      </c>
      <c r="M201" s="25">
        <v>70.78</v>
      </c>
      <c r="N201" s="35">
        <f t="shared" ca="1" si="7"/>
        <v>0</v>
      </c>
      <c r="O201" s="26" t="s">
        <v>117</v>
      </c>
      <c r="P201" s="1"/>
      <c r="Q201" s="5"/>
      <c r="R201" s="41">
        <v>57573</v>
      </c>
      <c r="S201" s="41">
        <v>2</v>
      </c>
      <c r="T201" s="39" t="s">
        <v>388</v>
      </c>
      <c r="U201" s="40">
        <v>8</v>
      </c>
      <c r="V201" s="40">
        <v>8</v>
      </c>
      <c r="W201" s="40">
        <v>0</v>
      </c>
      <c r="X201" s="44"/>
      <c r="Y201" s="44"/>
      <c r="Z201" s="45"/>
      <c r="AA201" s="44"/>
      <c r="AB201" s="44"/>
      <c r="AC201" s="53" t="s">
        <v>117</v>
      </c>
      <c r="AD201" s="1"/>
    </row>
    <row r="202" spans="6:30" x14ac:dyDescent="0.2">
      <c r="F202" s="1"/>
      <c r="G202" s="5"/>
      <c r="H202" s="24" t="s">
        <v>267</v>
      </c>
      <c r="I202" s="24" t="s">
        <v>17</v>
      </c>
      <c r="J202" s="23">
        <v>0.2</v>
      </c>
      <c r="K202" s="25">
        <v>78.5</v>
      </c>
      <c r="L202" s="25">
        <f t="shared" ca="1" si="9"/>
        <v>15.7</v>
      </c>
      <c r="M202" s="25">
        <v>15.7</v>
      </c>
      <c r="N202" s="35">
        <f t="shared" ca="1" si="7"/>
        <v>0</v>
      </c>
      <c r="O202" s="26" t="s">
        <v>117</v>
      </c>
      <c r="P202" s="1"/>
      <c r="Q202" s="5"/>
      <c r="R202" s="41">
        <v>57574</v>
      </c>
      <c r="S202" s="41">
        <v>2</v>
      </c>
      <c r="T202" s="39" t="s">
        <v>388</v>
      </c>
      <c r="U202" s="40">
        <v>170.55</v>
      </c>
      <c r="V202" s="40">
        <v>170.55</v>
      </c>
      <c r="W202" s="40">
        <v>0</v>
      </c>
      <c r="X202" s="44"/>
      <c r="Y202" s="44"/>
      <c r="Z202" s="45"/>
      <c r="AA202" s="44"/>
      <c r="AB202" s="44"/>
      <c r="AC202" s="53" t="s">
        <v>117</v>
      </c>
      <c r="AD202" s="1"/>
    </row>
    <row r="203" spans="6:30" x14ac:dyDescent="0.2">
      <c r="F203" s="1"/>
      <c r="G203" s="5"/>
      <c r="H203" s="24" t="s">
        <v>268</v>
      </c>
      <c r="I203" s="24" t="s">
        <v>17</v>
      </c>
      <c r="J203" s="23">
        <v>0.2</v>
      </c>
      <c r="K203" s="25">
        <v>58.3</v>
      </c>
      <c r="L203" s="25">
        <f t="shared" ca="1" si="9"/>
        <v>11.66</v>
      </c>
      <c r="M203" s="25">
        <v>11.66</v>
      </c>
      <c r="N203" s="35">
        <f t="shared" ca="1" si="7"/>
        <v>0</v>
      </c>
      <c r="O203" s="26" t="s">
        <v>117</v>
      </c>
      <c r="P203" s="1"/>
      <c r="Q203" s="5"/>
      <c r="R203" s="41">
        <v>57575</v>
      </c>
      <c r="S203" s="41">
        <v>2</v>
      </c>
      <c r="T203" s="39" t="s">
        <v>388</v>
      </c>
      <c r="U203" s="40">
        <v>10</v>
      </c>
      <c r="V203" s="40">
        <v>10</v>
      </c>
      <c r="W203" s="40">
        <v>0</v>
      </c>
      <c r="X203" s="44"/>
      <c r="Y203" s="44"/>
      <c r="Z203" s="45"/>
      <c r="AA203" s="44"/>
      <c r="AB203" s="44"/>
      <c r="AC203" s="53" t="s">
        <v>117</v>
      </c>
      <c r="AD203" s="1"/>
    </row>
    <row r="204" spans="6:30" x14ac:dyDescent="0.2">
      <c r="F204" s="1"/>
      <c r="G204" s="5"/>
      <c r="H204" s="24" t="s">
        <v>269</v>
      </c>
      <c r="I204" s="24" t="s">
        <v>17</v>
      </c>
      <c r="J204" s="23">
        <v>0.2</v>
      </c>
      <c r="K204" s="25">
        <v>709.69</v>
      </c>
      <c r="L204" s="25">
        <f t="shared" ca="1" si="9"/>
        <v>141.94</v>
      </c>
      <c r="M204" s="25">
        <v>141.94</v>
      </c>
      <c r="N204" s="35">
        <f t="shared" ca="1" si="7"/>
        <v>0</v>
      </c>
      <c r="O204" s="26" t="s">
        <v>117</v>
      </c>
      <c r="P204" s="1"/>
      <c r="Q204" s="5"/>
      <c r="R204" s="41">
        <v>57609</v>
      </c>
      <c r="S204" s="41">
        <v>2</v>
      </c>
      <c r="T204" s="39" t="s">
        <v>388</v>
      </c>
      <c r="U204" s="40">
        <v>-41.34</v>
      </c>
      <c r="V204" s="40">
        <v>-41.34</v>
      </c>
      <c r="W204" s="40">
        <v>0</v>
      </c>
      <c r="X204" s="44"/>
      <c r="Y204" s="44"/>
      <c r="Z204" s="45"/>
      <c r="AA204" s="44"/>
      <c r="AB204" s="44"/>
      <c r="AC204" s="53" t="s">
        <v>117</v>
      </c>
      <c r="AD204" s="1"/>
    </row>
    <row r="205" spans="6:30" x14ac:dyDescent="0.2">
      <c r="F205" s="1"/>
      <c r="G205" s="5"/>
      <c r="H205" s="24" t="s">
        <v>270</v>
      </c>
      <c r="I205" s="24" t="s">
        <v>17</v>
      </c>
      <c r="J205" s="23">
        <v>0.2</v>
      </c>
      <c r="K205" s="25">
        <v>78.5</v>
      </c>
      <c r="L205" s="25">
        <f t="shared" ca="1" si="9"/>
        <v>15.7</v>
      </c>
      <c r="M205" s="25">
        <v>15.7</v>
      </c>
      <c r="N205" s="35">
        <f t="shared" ca="1" si="7"/>
        <v>0</v>
      </c>
      <c r="O205" s="26" t="s">
        <v>117</v>
      </c>
      <c r="P205" s="1"/>
      <c r="Q205" s="5"/>
      <c r="R205" s="46" t="s">
        <v>404</v>
      </c>
      <c r="S205" s="46" t="s">
        <v>17</v>
      </c>
      <c r="T205" s="46" t="s">
        <v>388</v>
      </c>
      <c r="U205" s="42">
        <f ca="1">SUM(U190:U204)</f>
        <v>838.93000000000018</v>
      </c>
      <c r="V205" s="42">
        <f ca="1">SUM(V190:V204)</f>
        <v>838.93000000000018</v>
      </c>
      <c r="W205" s="47">
        <f ca="1">SUM(W190:W204)</f>
        <v>0</v>
      </c>
      <c r="X205" s="42">
        <v>1</v>
      </c>
      <c r="Y205" s="42">
        <f ca="1">W205-X205</f>
        <v>0</v>
      </c>
      <c r="Z205" s="46" t="s">
        <v>433</v>
      </c>
      <c r="AA205" s="42">
        <f ca="1">IF(Z205=$D$15,0,U205)</f>
        <v>0</v>
      </c>
      <c r="AB205" s="42">
        <f ca="1">IF(T205="GBP",0,U205)</f>
        <v>0</v>
      </c>
      <c r="AC205" s="54" t="s">
        <v>119</v>
      </c>
      <c r="AD205" s="1"/>
    </row>
    <row r="206" spans="6:30" x14ac:dyDescent="0.2">
      <c r="F206" s="1"/>
      <c r="G206" s="5"/>
      <c r="H206" s="24" t="s">
        <v>271</v>
      </c>
      <c r="I206" s="24" t="s">
        <v>17</v>
      </c>
      <c r="J206" s="23">
        <v>0.2</v>
      </c>
      <c r="K206" s="25">
        <v>58.3</v>
      </c>
      <c r="L206" s="25">
        <f t="shared" ca="1" si="9"/>
        <v>11.66</v>
      </c>
      <c r="M206" s="25">
        <v>11.66</v>
      </c>
      <c r="N206" s="35">
        <f t="shared" ca="1" si="7"/>
        <v>0</v>
      </c>
      <c r="O206" s="26" t="s">
        <v>117</v>
      </c>
      <c r="P206" s="1"/>
      <c r="Q206" s="5"/>
      <c r="R206" s="41">
        <v>54873</v>
      </c>
      <c r="S206" s="41">
        <v>2</v>
      </c>
      <c r="T206" s="39" t="s">
        <v>388</v>
      </c>
      <c r="U206" s="40">
        <v>6.85</v>
      </c>
      <c r="V206" s="40">
        <v>6.85</v>
      </c>
      <c r="W206" s="40">
        <v>0</v>
      </c>
      <c r="X206" s="44"/>
      <c r="Y206" s="44"/>
      <c r="Z206" s="45"/>
      <c r="AA206" s="44"/>
      <c r="AB206" s="44"/>
      <c r="AC206" s="53" t="s">
        <v>117</v>
      </c>
      <c r="AD206" s="1"/>
    </row>
    <row r="207" spans="6:30" x14ac:dyDescent="0.2">
      <c r="F207" s="1"/>
      <c r="G207" s="5"/>
      <c r="H207" s="24" t="s">
        <v>272</v>
      </c>
      <c r="I207" s="24" t="s">
        <v>17</v>
      </c>
      <c r="J207" s="23">
        <v>0.2</v>
      </c>
      <c r="K207" s="25">
        <v>709.69</v>
      </c>
      <c r="L207" s="25">
        <f t="shared" ca="1" si="9"/>
        <v>141.94</v>
      </c>
      <c r="M207" s="25">
        <v>141.94</v>
      </c>
      <c r="N207" s="35">
        <f t="shared" ca="1" si="7"/>
        <v>0</v>
      </c>
      <c r="O207" s="26" t="s">
        <v>117</v>
      </c>
      <c r="P207" s="1"/>
      <c r="Q207" s="5"/>
      <c r="R207" s="41">
        <v>54874</v>
      </c>
      <c r="S207" s="41">
        <v>2</v>
      </c>
      <c r="T207" s="39" t="s">
        <v>388</v>
      </c>
      <c r="U207" s="40">
        <v>8.2200000000000006</v>
      </c>
      <c r="V207" s="40">
        <v>8.2200000000000006</v>
      </c>
      <c r="W207" s="40">
        <v>0</v>
      </c>
      <c r="X207" s="44"/>
      <c r="Y207" s="44"/>
      <c r="Z207" s="45"/>
      <c r="AA207" s="44"/>
      <c r="AB207" s="44"/>
      <c r="AC207" s="53" t="s">
        <v>117</v>
      </c>
      <c r="AD207" s="1"/>
    </row>
    <row r="208" spans="6:30" x14ac:dyDescent="0.2">
      <c r="F208" s="1"/>
      <c r="G208" s="5"/>
      <c r="H208" s="24" t="s">
        <v>273</v>
      </c>
      <c r="I208" s="24" t="s">
        <v>17</v>
      </c>
      <c r="J208" s="23">
        <v>0.2</v>
      </c>
      <c r="K208" s="25">
        <v>11509.34</v>
      </c>
      <c r="L208" s="25">
        <f t="shared" ca="1" si="9"/>
        <v>2301.87</v>
      </c>
      <c r="M208" s="25">
        <v>2301.87</v>
      </c>
      <c r="N208" s="35">
        <f t="shared" ca="1" si="7"/>
        <v>0</v>
      </c>
      <c r="O208" s="26" t="s">
        <v>117</v>
      </c>
      <c r="P208" s="1"/>
      <c r="Q208" s="5"/>
      <c r="R208" s="41">
        <v>54932</v>
      </c>
      <c r="S208" s="41">
        <v>2</v>
      </c>
      <c r="T208" s="39" t="s">
        <v>388</v>
      </c>
      <c r="U208" s="40">
        <v>51</v>
      </c>
      <c r="V208" s="40">
        <v>51</v>
      </c>
      <c r="W208" s="40">
        <v>0</v>
      </c>
      <c r="X208" s="44"/>
      <c r="Y208" s="44"/>
      <c r="Z208" s="45"/>
      <c r="AA208" s="44"/>
      <c r="AB208" s="44"/>
      <c r="AC208" s="53" t="s">
        <v>117</v>
      </c>
      <c r="AD208" s="1"/>
    </row>
    <row r="209" spans="6:30" x14ac:dyDescent="0.2">
      <c r="F209" s="1"/>
      <c r="G209" s="5"/>
      <c r="H209" s="24" t="s">
        <v>274</v>
      </c>
      <c r="I209" s="24" t="s">
        <v>17</v>
      </c>
      <c r="J209" s="23">
        <v>0.2</v>
      </c>
      <c r="K209" s="25">
        <v>-206.69</v>
      </c>
      <c r="L209" s="25">
        <f t="shared" ca="1" si="9"/>
        <v>-41.34</v>
      </c>
      <c r="M209" s="25">
        <v>-41.34</v>
      </c>
      <c r="N209" s="35">
        <f t="shared" ca="1" si="7"/>
        <v>0</v>
      </c>
      <c r="O209" s="26" t="s">
        <v>117</v>
      </c>
      <c r="P209" s="1"/>
      <c r="Q209" s="5"/>
      <c r="R209" s="41">
        <v>54938</v>
      </c>
      <c r="S209" s="41">
        <v>1</v>
      </c>
      <c r="T209" s="39" t="s">
        <v>388</v>
      </c>
      <c r="U209" s="40">
        <v>1550</v>
      </c>
      <c r="V209" s="40">
        <v>1550</v>
      </c>
      <c r="W209" s="40">
        <v>0</v>
      </c>
      <c r="X209" s="44"/>
      <c r="Y209" s="44"/>
      <c r="Z209" s="45"/>
      <c r="AA209" s="44"/>
      <c r="AB209" s="44"/>
      <c r="AC209" s="53" t="s">
        <v>117</v>
      </c>
      <c r="AD209" s="1"/>
    </row>
    <row r="210" spans="6:30" x14ac:dyDescent="0.2">
      <c r="F210" s="1"/>
      <c r="G210" s="5"/>
      <c r="H210" s="24" t="s">
        <v>172</v>
      </c>
      <c r="I210" s="24" t="s">
        <v>17</v>
      </c>
      <c r="J210" s="23">
        <v>0.2</v>
      </c>
      <c r="K210" s="25">
        <v>7.5</v>
      </c>
      <c r="L210" s="25">
        <f t="shared" ca="1" si="9"/>
        <v>1.5</v>
      </c>
      <c r="M210" s="25">
        <v>1.5</v>
      </c>
      <c r="N210" s="35">
        <f t="shared" ca="1" si="7"/>
        <v>0</v>
      </c>
      <c r="O210" s="26" t="s">
        <v>117</v>
      </c>
      <c r="P210" s="1"/>
      <c r="Q210" s="5"/>
      <c r="R210" s="41">
        <v>54964</v>
      </c>
      <c r="S210" s="41">
        <v>3</v>
      </c>
      <c r="T210" s="39" t="s">
        <v>388</v>
      </c>
      <c r="U210" s="40">
        <v>-85</v>
      </c>
      <c r="V210" s="40">
        <v>-85</v>
      </c>
      <c r="W210" s="40">
        <v>0</v>
      </c>
      <c r="X210" s="44"/>
      <c r="Y210" s="44"/>
      <c r="Z210" s="45"/>
      <c r="AA210" s="44"/>
      <c r="AB210" s="44"/>
      <c r="AC210" s="53" t="s">
        <v>117</v>
      </c>
      <c r="AD210" s="1"/>
    </row>
    <row r="211" spans="6:30" x14ac:dyDescent="0.2">
      <c r="F211" s="1"/>
      <c r="G211" s="5"/>
      <c r="H211" s="24" t="s">
        <v>275</v>
      </c>
      <c r="I211" s="24" t="s">
        <v>17</v>
      </c>
      <c r="J211" s="23">
        <v>0.2</v>
      </c>
      <c r="K211" s="25">
        <v>9942.5</v>
      </c>
      <c r="L211" s="25">
        <f t="shared" ca="1" si="9"/>
        <v>1988.5</v>
      </c>
      <c r="M211" s="25">
        <v>1988.5</v>
      </c>
      <c r="N211" s="35">
        <f t="shared" ca="1" si="7"/>
        <v>0</v>
      </c>
      <c r="O211" s="26" t="s">
        <v>117</v>
      </c>
      <c r="P211" s="1"/>
      <c r="Q211" s="5"/>
      <c r="R211" s="41">
        <v>54988</v>
      </c>
      <c r="S211" s="41">
        <v>2</v>
      </c>
      <c r="T211" s="39" t="s">
        <v>388</v>
      </c>
      <c r="U211" s="40">
        <v>579.16999999999996</v>
      </c>
      <c r="V211" s="40">
        <v>579.16999999999996</v>
      </c>
      <c r="W211" s="40">
        <v>0</v>
      </c>
      <c r="X211" s="44"/>
      <c r="Y211" s="44"/>
      <c r="Z211" s="45"/>
      <c r="AA211" s="44"/>
      <c r="AB211" s="44"/>
      <c r="AC211" s="53" t="s">
        <v>117</v>
      </c>
      <c r="AD211" s="1"/>
    </row>
    <row r="212" spans="6:30" x14ac:dyDescent="0.2">
      <c r="F212" s="1"/>
      <c r="G212" s="5"/>
      <c r="H212" s="24" t="s">
        <v>276</v>
      </c>
      <c r="I212" s="24" t="s">
        <v>17</v>
      </c>
      <c r="J212" s="23">
        <v>0.2</v>
      </c>
      <c r="K212" s="25">
        <v>6500</v>
      </c>
      <c r="L212" s="25">
        <f t="shared" ca="1" si="9"/>
        <v>1300</v>
      </c>
      <c r="M212" s="25">
        <v>1300</v>
      </c>
      <c r="N212" s="35">
        <f t="shared" ref="N212:N275" ca="1" si="10">IF(AND(M212&gt;L212-0.1,M212&lt;L212+0.1),0,1)</f>
        <v>0</v>
      </c>
      <c r="O212" s="26" t="s">
        <v>117</v>
      </c>
      <c r="P212" s="1"/>
      <c r="Q212" s="5"/>
      <c r="R212" s="41">
        <v>54989</v>
      </c>
      <c r="S212" s="41">
        <v>2</v>
      </c>
      <c r="T212" s="39" t="s">
        <v>388</v>
      </c>
      <c r="U212" s="40">
        <v>17</v>
      </c>
      <c r="V212" s="40">
        <v>17</v>
      </c>
      <c r="W212" s="40">
        <v>0</v>
      </c>
      <c r="X212" s="44"/>
      <c r="Y212" s="44"/>
      <c r="Z212" s="45"/>
      <c r="AA212" s="44"/>
      <c r="AB212" s="44"/>
      <c r="AC212" s="53" t="s">
        <v>117</v>
      </c>
      <c r="AD212" s="1"/>
    </row>
    <row r="213" spans="6:30" x14ac:dyDescent="0.2">
      <c r="F213" s="1"/>
      <c r="G213" s="5"/>
      <c r="H213" s="24" t="s">
        <v>277</v>
      </c>
      <c r="I213" s="24" t="s">
        <v>17</v>
      </c>
      <c r="J213" s="23">
        <v>0.2</v>
      </c>
      <c r="K213" s="25">
        <v>6500</v>
      </c>
      <c r="L213" s="25">
        <f t="shared" ca="1" si="9"/>
        <v>1300</v>
      </c>
      <c r="M213" s="25">
        <v>1300</v>
      </c>
      <c r="N213" s="35">
        <f t="shared" ca="1" si="10"/>
        <v>0</v>
      </c>
      <c r="O213" s="26" t="s">
        <v>117</v>
      </c>
      <c r="P213" s="1"/>
      <c r="Q213" s="5"/>
      <c r="R213" s="41">
        <v>54990</v>
      </c>
      <c r="S213" s="41">
        <v>1</v>
      </c>
      <c r="T213" s="39" t="s">
        <v>388</v>
      </c>
      <c r="U213" s="40">
        <v>68</v>
      </c>
      <c r="V213" s="40">
        <v>68</v>
      </c>
      <c r="W213" s="40">
        <v>0</v>
      </c>
      <c r="X213" s="44"/>
      <c r="Y213" s="44"/>
      <c r="Z213" s="45"/>
      <c r="AA213" s="44"/>
      <c r="AB213" s="44"/>
      <c r="AC213" s="53" t="s">
        <v>117</v>
      </c>
      <c r="AD213" s="1"/>
    </row>
    <row r="214" spans="6:30" x14ac:dyDescent="0.2">
      <c r="F214" s="1"/>
      <c r="G214" s="5"/>
      <c r="H214" s="24" t="s">
        <v>278</v>
      </c>
      <c r="I214" s="24" t="s">
        <v>17</v>
      </c>
      <c r="J214" s="23">
        <v>0.2</v>
      </c>
      <c r="K214" s="25">
        <v>4600</v>
      </c>
      <c r="L214" s="25">
        <f t="shared" ca="1" si="9"/>
        <v>920</v>
      </c>
      <c r="M214" s="25">
        <v>920</v>
      </c>
      <c r="N214" s="35">
        <f t="shared" ca="1" si="10"/>
        <v>0</v>
      </c>
      <c r="O214" s="26" t="s">
        <v>117</v>
      </c>
      <c r="P214" s="1"/>
      <c r="Q214" s="5"/>
      <c r="R214" s="41">
        <v>57257</v>
      </c>
      <c r="S214" s="41">
        <v>2</v>
      </c>
      <c r="T214" s="39" t="s">
        <v>388</v>
      </c>
      <c r="U214" s="40">
        <v>1400</v>
      </c>
      <c r="V214" s="40">
        <v>1400</v>
      </c>
      <c r="W214" s="40">
        <v>0</v>
      </c>
      <c r="X214" s="44"/>
      <c r="Y214" s="44"/>
      <c r="Z214" s="45"/>
      <c r="AA214" s="44"/>
      <c r="AB214" s="44"/>
      <c r="AC214" s="53" t="s">
        <v>117</v>
      </c>
      <c r="AD214" s="1"/>
    </row>
    <row r="215" spans="6:30" x14ac:dyDescent="0.2">
      <c r="F215" s="1"/>
      <c r="G215" s="5"/>
      <c r="H215" s="24" t="s">
        <v>279</v>
      </c>
      <c r="I215" s="24" t="s">
        <v>17</v>
      </c>
      <c r="J215" s="23">
        <v>0.2</v>
      </c>
      <c r="K215" s="25">
        <v>9702.16</v>
      </c>
      <c r="L215" s="25">
        <f t="shared" ca="1" si="9"/>
        <v>1940.43</v>
      </c>
      <c r="M215" s="25">
        <v>1940.42</v>
      </c>
      <c r="N215" s="35">
        <f t="shared" ca="1" si="10"/>
        <v>0</v>
      </c>
      <c r="O215" s="26" t="s">
        <v>117</v>
      </c>
      <c r="P215" s="1"/>
      <c r="Q215" s="5"/>
      <c r="R215" s="41">
        <v>57258</v>
      </c>
      <c r="S215" s="41">
        <v>2</v>
      </c>
      <c r="T215" s="39" t="s">
        <v>388</v>
      </c>
      <c r="U215" s="40">
        <v>579.16999999999996</v>
      </c>
      <c r="V215" s="40">
        <v>579.16999999999996</v>
      </c>
      <c r="W215" s="40">
        <v>0</v>
      </c>
      <c r="X215" s="44"/>
      <c r="Y215" s="44"/>
      <c r="Z215" s="45"/>
      <c r="AA215" s="44"/>
      <c r="AB215" s="44"/>
      <c r="AC215" s="53" t="s">
        <v>117</v>
      </c>
      <c r="AD215" s="1"/>
    </row>
    <row r="216" spans="6:30" x14ac:dyDescent="0.2">
      <c r="F216" s="1"/>
      <c r="G216" s="5"/>
      <c r="H216" s="24" t="s">
        <v>280</v>
      </c>
      <c r="I216" s="24" t="s">
        <v>17</v>
      </c>
      <c r="J216" s="23">
        <v>0.2</v>
      </c>
      <c r="K216" s="25">
        <v>83.4</v>
      </c>
      <c r="L216" s="25">
        <f t="shared" ca="1" si="9"/>
        <v>16.68</v>
      </c>
      <c r="M216" s="25">
        <v>16.68</v>
      </c>
      <c r="N216" s="35">
        <f t="shared" ca="1" si="10"/>
        <v>0</v>
      </c>
      <c r="O216" s="26" t="s">
        <v>117</v>
      </c>
      <c r="P216" s="1"/>
      <c r="Q216" s="5"/>
      <c r="R216" s="41">
        <v>57301</v>
      </c>
      <c r="S216" s="41">
        <v>2</v>
      </c>
      <c r="T216" s="39" t="s">
        <v>388</v>
      </c>
      <c r="U216" s="40">
        <v>-170</v>
      </c>
      <c r="V216" s="40">
        <v>-170</v>
      </c>
      <c r="W216" s="40">
        <v>0</v>
      </c>
      <c r="X216" s="44"/>
      <c r="Y216" s="44"/>
      <c r="Z216" s="45"/>
      <c r="AA216" s="44"/>
      <c r="AB216" s="44"/>
      <c r="AC216" s="53" t="s">
        <v>117</v>
      </c>
      <c r="AD216" s="1"/>
    </row>
    <row r="217" spans="6:30" x14ac:dyDescent="0.2">
      <c r="F217" s="1"/>
      <c r="G217" s="5"/>
      <c r="H217" s="24" t="s">
        <v>281</v>
      </c>
      <c r="I217" s="24" t="s">
        <v>17</v>
      </c>
      <c r="J217" s="23">
        <v>0.2</v>
      </c>
      <c r="K217" s="25">
        <v>42.3</v>
      </c>
      <c r="L217" s="25">
        <f t="shared" ref="L217:L248" ca="1" si="11">ROUND(J217*K217,2)</f>
        <v>8.4600000000000009</v>
      </c>
      <c r="M217" s="25">
        <v>8.4600000000000009</v>
      </c>
      <c r="N217" s="35">
        <f t="shared" ca="1" si="10"/>
        <v>0</v>
      </c>
      <c r="O217" s="26" t="s">
        <v>117</v>
      </c>
      <c r="P217" s="1"/>
      <c r="Q217" s="5"/>
      <c r="R217" s="41">
        <v>57409</v>
      </c>
      <c r="S217" s="41">
        <v>2</v>
      </c>
      <c r="T217" s="39" t="s">
        <v>388</v>
      </c>
      <c r="U217" s="40">
        <v>219.36</v>
      </c>
      <c r="V217" s="40">
        <v>219.36</v>
      </c>
      <c r="W217" s="40">
        <v>0</v>
      </c>
      <c r="X217" s="44"/>
      <c r="Y217" s="44"/>
      <c r="Z217" s="45"/>
      <c r="AA217" s="44"/>
      <c r="AB217" s="44"/>
      <c r="AC217" s="53" t="s">
        <v>117</v>
      </c>
      <c r="AD217" s="1"/>
    </row>
    <row r="218" spans="6:30" x14ac:dyDescent="0.2">
      <c r="F218" s="1"/>
      <c r="G218" s="5"/>
      <c r="H218" s="24" t="s">
        <v>282</v>
      </c>
      <c r="I218" s="24" t="s">
        <v>17</v>
      </c>
      <c r="J218" s="23">
        <v>0.2</v>
      </c>
      <c r="K218" s="25">
        <v>32.1</v>
      </c>
      <c r="L218" s="25">
        <f t="shared" ca="1" si="11"/>
        <v>6.42</v>
      </c>
      <c r="M218" s="25">
        <v>6.42</v>
      </c>
      <c r="N218" s="35">
        <f t="shared" ca="1" si="10"/>
        <v>0</v>
      </c>
      <c r="O218" s="26" t="s">
        <v>117</v>
      </c>
      <c r="P218" s="1"/>
      <c r="Q218" s="5"/>
      <c r="R218" s="46" t="s">
        <v>405</v>
      </c>
      <c r="S218" s="46" t="s">
        <v>17</v>
      </c>
      <c r="T218" s="46" t="s">
        <v>388</v>
      </c>
      <c r="U218" s="42">
        <f ca="1">SUM(U206:U217)</f>
        <v>4223.7699999999995</v>
      </c>
      <c r="V218" s="42">
        <f ca="1">SUM(V206:V217)</f>
        <v>4223.7699999999995</v>
      </c>
      <c r="W218" s="47">
        <f ca="1">SUM(W206:W217)</f>
        <v>0</v>
      </c>
      <c r="X218" s="42">
        <v>1</v>
      </c>
      <c r="Y218" s="42">
        <f ca="1">W218-X218</f>
        <v>0</v>
      </c>
      <c r="Z218" s="46" t="s">
        <v>433</v>
      </c>
      <c r="AA218" s="42">
        <f ca="1">IF(Z218=$D$15,0,U218)</f>
        <v>0</v>
      </c>
      <c r="AB218" s="42">
        <f ca="1">IF(T218="GBP",0,U218)</f>
        <v>0</v>
      </c>
      <c r="AC218" s="54" t="s">
        <v>119</v>
      </c>
      <c r="AD218" s="1"/>
    </row>
    <row r="219" spans="6:30" x14ac:dyDescent="0.2">
      <c r="F219" s="1"/>
      <c r="G219" s="5"/>
      <c r="H219" s="24" t="s">
        <v>283</v>
      </c>
      <c r="I219" s="24" t="s">
        <v>17</v>
      </c>
      <c r="J219" s="23">
        <v>0.2</v>
      </c>
      <c r="K219" s="25">
        <v>30.3</v>
      </c>
      <c r="L219" s="25">
        <f t="shared" ca="1" si="11"/>
        <v>6.06</v>
      </c>
      <c r="M219" s="25">
        <v>6.06</v>
      </c>
      <c r="N219" s="35">
        <f t="shared" ca="1" si="10"/>
        <v>0</v>
      </c>
      <c r="O219" s="26" t="s">
        <v>117</v>
      </c>
      <c r="P219" s="1"/>
      <c r="Q219" s="5"/>
      <c r="R219" s="41">
        <v>57206</v>
      </c>
      <c r="S219" s="41">
        <v>2</v>
      </c>
      <c r="T219" s="39" t="s">
        <v>388</v>
      </c>
      <c r="U219" s="40">
        <v>560</v>
      </c>
      <c r="V219" s="40">
        <v>560</v>
      </c>
      <c r="W219" s="40">
        <v>0</v>
      </c>
      <c r="X219" s="44"/>
      <c r="Y219" s="44"/>
      <c r="Z219" s="45"/>
      <c r="AA219" s="44"/>
      <c r="AB219" s="44"/>
      <c r="AC219" s="53" t="s">
        <v>117</v>
      </c>
      <c r="AD219" s="1"/>
    </row>
    <row r="220" spans="6:30" x14ac:dyDescent="0.2">
      <c r="F220" s="1"/>
      <c r="G220" s="5"/>
      <c r="H220" s="24" t="s">
        <v>284</v>
      </c>
      <c r="I220" s="24" t="s">
        <v>17</v>
      </c>
      <c r="J220" s="23">
        <v>0.2</v>
      </c>
      <c r="K220" s="25">
        <v>9800</v>
      </c>
      <c r="L220" s="25">
        <f t="shared" ca="1" si="11"/>
        <v>1960</v>
      </c>
      <c r="M220" s="25">
        <v>1960</v>
      </c>
      <c r="N220" s="35">
        <f t="shared" ca="1" si="10"/>
        <v>0</v>
      </c>
      <c r="O220" s="26" t="s">
        <v>117</v>
      </c>
      <c r="P220" s="1"/>
      <c r="Q220" s="5"/>
      <c r="R220" s="41">
        <v>57207</v>
      </c>
      <c r="S220" s="41">
        <v>2</v>
      </c>
      <c r="T220" s="39" t="s">
        <v>388</v>
      </c>
      <c r="U220" s="40">
        <v>24.02</v>
      </c>
      <c r="V220" s="40">
        <v>24.02</v>
      </c>
      <c r="W220" s="40">
        <v>0</v>
      </c>
      <c r="X220" s="44"/>
      <c r="Y220" s="44"/>
      <c r="Z220" s="45"/>
      <c r="AA220" s="44"/>
      <c r="AB220" s="44"/>
      <c r="AC220" s="53" t="s">
        <v>117</v>
      </c>
      <c r="AD220" s="1"/>
    </row>
    <row r="221" spans="6:30" x14ac:dyDescent="0.2">
      <c r="F221" s="1"/>
      <c r="G221" s="5"/>
      <c r="H221" s="24" t="s">
        <v>285</v>
      </c>
      <c r="I221" s="24" t="s">
        <v>17</v>
      </c>
      <c r="J221" s="23">
        <v>0.2</v>
      </c>
      <c r="K221" s="25">
        <v>2278.5700000000002</v>
      </c>
      <c r="L221" s="25">
        <f t="shared" ca="1" si="11"/>
        <v>455.71</v>
      </c>
      <c r="M221" s="25">
        <v>455.71</v>
      </c>
      <c r="N221" s="35">
        <f t="shared" ca="1" si="10"/>
        <v>0</v>
      </c>
      <c r="O221" s="26" t="s">
        <v>117</v>
      </c>
      <c r="P221" s="1"/>
      <c r="Q221" s="5"/>
      <c r="R221" s="41">
        <v>57208</v>
      </c>
      <c r="S221" s="41">
        <v>2</v>
      </c>
      <c r="T221" s="39" t="s">
        <v>388</v>
      </c>
      <c r="U221" s="40">
        <v>7.9</v>
      </c>
      <c r="V221" s="40">
        <v>7.9</v>
      </c>
      <c r="W221" s="40">
        <v>0</v>
      </c>
      <c r="X221" s="44"/>
      <c r="Y221" s="44"/>
      <c r="Z221" s="45"/>
      <c r="AA221" s="44"/>
      <c r="AB221" s="44"/>
      <c r="AC221" s="53" t="s">
        <v>117</v>
      </c>
      <c r="AD221" s="1"/>
    </row>
    <row r="222" spans="6:30" x14ac:dyDescent="0.2">
      <c r="F222" s="1"/>
      <c r="G222" s="5"/>
      <c r="H222" s="24" t="s">
        <v>182</v>
      </c>
      <c r="I222" s="24" t="s">
        <v>17</v>
      </c>
      <c r="J222" s="23">
        <v>0.2</v>
      </c>
      <c r="K222" s="25">
        <v>210</v>
      </c>
      <c r="L222" s="25">
        <f t="shared" ca="1" si="11"/>
        <v>42</v>
      </c>
      <c r="M222" s="25"/>
      <c r="N222" s="35">
        <f t="shared" ca="1" si="10"/>
        <v>1</v>
      </c>
      <c r="O222" s="26" t="s">
        <v>117</v>
      </c>
      <c r="P222" s="1"/>
      <c r="Q222" s="5"/>
      <c r="R222" s="41">
        <v>57210</v>
      </c>
      <c r="S222" s="41">
        <v>2</v>
      </c>
      <c r="T222" s="39" t="s">
        <v>388</v>
      </c>
      <c r="U222" s="40">
        <v>9.84</v>
      </c>
      <c r="V222" s="40">
        <v>9.84</v>
      </c>
      <c r="W222" s="40">
        <v>0</v>
      </c>
      <c r="X222" s="44"/>
      <c r="Y222" s="44"/>
      <c r="Z222" s="45"/>
      <c r="AA222" s="44"/>
      <c r="AB222" s="44"/>
      <c r="AC222" s="53" t="s">
        <v>117</v>
      </c>
      <c r="AD222" s="1"/>
    </row>
    <row r="223" spans="6:30" x14ac:dyDescent="0.2">
      <c r="F223" s="1"/>
      <c r="G223" s="5"/>
      <c r="H223" s="24" t="s">
        <v>286</v>
      </c>
      <c r="I223" s="24" t="s">
        <v>17</v>
      </c>
      <c r="J223" s="23">
        <v>0.2</v>
      </c>
      <c r="K223" s="25">
        <v>50.46</v>
      </c>
      <c r="L223" s="25">
        <f t="shared" ca="1" si="11"/>
        <v>10.09</v>
      </c>
      <c r="M223" s="25">
        <v>10.09</v>
      </c>
      <c r="N223" s="35">
        <f t="shared" ca="1" si="10"/>
        <v>0</v>
      </c>
      <c r="O223" s="26" t="s">
        <v>117</v>
      </c>
      <c r="P223" s="1"/>
      <c r="Q223" s="5"/>
      <c r="R223" s="41">
        <v>57211</v>
      </c>
      <c r="S223" s="41">
        <v>2</v>
      </c>
      <c r="T223" s="39" t="s">
        <v>388</v>
      </c>
      <c r="U223" s="40">
        <v>190</v>
      </c>
      <c r="V223" s="40">
        <v>190</v>
      </c>
      <c r="W223" s="40">
        <v>0</v>
      </c>
      <c r="X223" s="44"/>
      <c r="Y223" s="44"/>
      <c r="Z223" s="45"/>
      <c r="AA223" s="44"/>
      <c r="AB223" s="44"/>
      <c r="AC223" s="53" t="s">
        <v>117</v>
      </c>
      <c r="AD223" s="1"/>
    </row>
    <row r="224" spans="6:30" x14ac:dyDescent="0.2">
      <c r="F224" s="1"/>
      <c r="G224" s="5"/>
      <c r="H224" s="24" t="s">
        <v>287</v>
      </c>
      <c r="I224" s="24" t="s">
        <v>17</v>
      </c>
      <c r="J224" s="23">
        <v>0.2</v>
      </c>
      <c r="K224" s="25">
        <v>106.08</v>
      </c>
      <c r="L224" s="25">
        <f t="shared" ca="1" si="11"/>
        <v>21.22</v>
      </c>
      <c r="M224" s="25">
        <v>21.22</v>
      </c>
      <c r="N224" s="35">
        <f t="shared" ca="1" si="10"/>
        <v>0</v>
      </c>
      <c r="O224" s="26" t="s">
        <v>117</v>
      </c>
      <c r="P224" s="1"/>
      <c r="Q224" s="5"/>
      <c r="R224" s="41">
        <v>57213</v>
      </c>
      <c r="S224" s="41">
        <v>2</v>
      </c>
      <c r="T224" s="39" t="s">
        <v>388</v>
      </c>
      <c r="U224" s="40">
        <v>16.47</v>
      </c>
      <c r="V224" s="40">
        <v>16.47</v>
      </c>
      <c r="W224" s="40">
        <v>0</v>
      </c>
      <c r="X224" s="44"/>
      <c r="Y224" s="44"/>
      <c r="Z224" s="45"/>
      <c r="AA224" s="44"/>
      <c r="AB224" s="44"/>
      <c r="AC224" s="53" t="s">
        <v>117</v>
      </c>
      <c r="AD224" s="1"/>
    </row>
    <row r="225" spans="6:30" x14ac:dyDescent="0.2">
      <c r="F225" s="1"/>
      <c r="G225" s="5"/>
      <c r="H225" s="24" t="s">
        <v>288</v>
      </c>
      <c r="I225" s="24" t="s">
        <v>17</v>
      </c>
      <c r="J225" s="23">
        <v>0.2</v>
      </c>
      <c r="K225" s="25">
        <v>51.65</v>
      </c>
      <c r="L225" s="25">
        <f t="shared" ca="1" si="11"/>
        <v>10.33</v>
      </c>
      <c r="M225" s="25">
        <v>10.33</v>
      </c>
      <c r="N225" s="35">
        <f t="shared" ca="1" si="10"/>
        <v>0</v>
      </c>
      <c r="O225" s="26" t="s">
        <v>117</v>
      </c>
      <c r="P225" s="1"/>
      <c r="Q225" s="5"/>
      <c r="R225" s="41">
        <v>57259</v>
      </c>
      <c r="S225" s="41">
        <v>2</v>
      </c>
      <c r="T225" s="39" t="s">
        <v>388</v>
      </c>
      <c r="U225" s="40">
        <v>744.1</v>
      </c>
      <c r="V225" s="40">
        <v>744.1</v>
      </c>
      <c r="W225" s="40">
        <v>0</v>
      </c>
      <c r="X225" s="44"/>
      <c r="Y225" s="44"/>
      <c r="Z225" s="45"/>
      <c r="AA225" s="44"/>
      <c r="AB225" s="44"/>
      <c r="AC225" s="53" t="s">
        <v>117</v>
      </c>
      <c r="AD225" s="1"/>
    </row>
    <row r="226" spans="6:30" x14ac:dyDescent="0.2">
      <c r="F226" s="1"/>
      <c r="G226" s="5"/>
      <c r="H226" s="24" t="s">
        <v>289</v>
      </c>
      <c r="I226" s="24" t="s">
        <v>17</v>
      </c>
      <c r="J226" s="23">
        <v>0.2</v>
      </c>
      <c r="K226" s="25">
        <v>52.57</v>
      </c>
      <c r="L226" s="25">
        <f t="shared" ca="1" si="11"/>
        <v>10.51</v>
      </c>
      <c r="M226" s="25">
        <v>10.51</v>
      </c>
      <c r="N226" s="35">
        <f t="shared" ca="1" si="10"/>
        <v>0</v>
      </c>
      <c r="O226" s="26" t="s">
        <v>117</v>
      </c>
      <c r="P226" s="1"/>
      <c r="Q226" s="5"/>
      <c r="R226" s="41">
        <v>57265</v>
      </c>
      <c r="S226" s="41">
        <v>2</v>
      </c>
      <c r="T226" s="39" t="s">
        <v>388</v>
      </c>
      <c r="U226" s="40">
        <v>-24</v>
      </c>
      <c r="V226" s="40">
        <v>-24</v>
      </c>
      <c r="W226" s="40">
        <v>0</v>
      </c>
      <c r="X226" s="44"/>
      <c r="Y226" s="44"/>
      <c r="Z226" s="45"/>
      <c r="AA226" s="44"/>
      <c r="AB226" s="44"/>
      <c r="AC226" s="53" t="s">
        <v>117</v>
      </c>
      <c r="AD226" s="1"/>
    </row>
    <row r="227" spans="6:30" x14ac:dyDescent="0.2">
      <c r="F227" s="1"/>
      <c r="G227" s="5"/>
      <c r="H227" s="24" t="s">
        <v>290</v>
      </c>
      <c r="I227" s="24" t="s">
        <v>17</v>
      </c>
      <c r="J227" s="23">
        <v>0.2</v>
      </c>
      <c r="K227" s="25">
        <v>59.97</v>
      </c>
      <c r="L227" s="25">
        <f t="shared" ca="1" si="11"/>
        <v>11.99</v>
      </c>
      <c r="M227" s="25">
        <v>11.99</v>
      </c>
      <c r="N227" s="35">
        <f t="shared" ca="1" si="10"/>
        <v>0</v>
      </c>
      <c r="O227" s="26" t="s">
        <v>117</v>
      </c>
      <c r="P227" s="1"/>
      <c r="Q227" s="5"/>
      <c r="R227" s="41">
        <v>57267</v>
      </c>
      <c r="S227" s="41">
        <v>2</v>
      </c>
      <c r="T227" s="39" t="s">
        <v>388</v>
      </c>
      <c r="U227" s="40">
        <v>88</v>
      </c>
      <c r="V227" s="40">
        <v>88</v>
      </c>
      <c r="W227" s="40">
        <v>0</v>
      </c>
      <c r="X227" s="44"/>
      <c r="Y227" s="44"/>
      <c r="Z227" s="45"/>
      <c r="AA227" s="44"/>
      <c r="AB227" s="44"/>
      <c r="AC227" s="53" t="s">
        <v>117</v>
      </c>
      <c r="AD227" s="1"/>
    </row>
    <row r="228" spans="6:30" x14ac:dyDescent="0.2">
      <c r="F228" s="1"/>
      <c r="G228" s="5"/>
      <c r="H228" s="24" t="s">
        <v>291</v>
      </c>
      <c r="I228" s="24" t="s">
        <v>17</v>
      </c>
      <c r="J228" s="23">
        <v>0.2</v>
      </c>
      <c r="K228" s="25">
        <v>8550</v>
      </c>
      <c r="L228" s="25">
        <f t="shared" ca="1" si="11"/>
        <v>1710</v>
      </c>
      <c r="M228" s="25">
        <v>1710</v>
      </c>
      <c r="N228" s="35">
        <f t="shared" ca="1" si="10"/>
        <v>0</v>
      </c>
      <c r="O228" s="26" t="s">
        <v>117</v>
      </c>
      <c r="P228" s="1"/>
      <c r="Q228" s="5"/>
      <c r="R228" s="41">
        <v>57310</v>
      </c>
      <c r="S228" s="41">
        <v>2</v>
      </c>
      <c r="T228" s="39" t="s">
        <v>388</v>
      </c>
      <c r="U228" s="40">
        <v>37.950000000000003</v>
      </c>
      <c r="V228" s="40">
        <v>37.950000000000003</v>
      </c>
      <c r="W228" s="40">
        <v>0</v>
      </c>
      <c r="X228" s="44"/>
      <c r="Y228" s="44"/>
      <c r="Z228" s="45"/>
      <c r="AA228" s="44"/>
      <c r="AB228" s="44"/>
      <c r="AC228" s="53" t="s">
        <v>117</v>
      </c>
      <c r="AD228" s="1"/>
    </row>
    <row r="229" spans="6:30" x14ac:dyDescent="0.2">
      <c r="F229" s="1"/>
      <c r="G229" s="5"/>
      <c r="H229" s="24" t="s">
        <v>20</v>
      </c>
      <c r="I229" s="24" t="s">
        <v>17</v>
      </c>
      <c r="J229" s="23">
        <v>0.2</v>
      </c>
      <c r="K229" s="25">
        <v>6250</v>
      </c>
      <c r="L229" s="25">
        <f t="shared" ca="1" si="11"/>
        <v>1250</v>
      </c>
      <c r="M229" s="25">
        <v>1250</v>
      </c>
      <c r="N229" s="35">
        <f t="shared" ca="1" si="10"/>
        <v>0</v>
      </c>
      <c r="O229" s="26" t="s">
        <v>117</v>
      </c>
      <c r="P229" s="1"/>
      <c r="Q229" s="5"/>
      <c r="R229" s="41">
        <v>57324</v>
      </c>
      <c r="S229" s="41">
        <v>2</v>
      </c>
      <c r="T229" s="39" t="s">
        <v>388</v>
      </c>
      <c r="U229" s="40">
        <v>33.590000000000003</v>
      </c>
      <c r="V229" s="40">
        <v>33.590000000000003</v>
      </c>
      <c r="W229" s="40">
        <v>0</v>
      </c>
      <c r="X229" s="44"/>
      <c r="Y229" s="44"/>
      <c r="Z229" s="45"/>
      <c r="AA229" s="44"/>
      <c r="AB229" s="44"/>
      <c r="AC229" s="53" t="s">
        <v>117</v>
      </c>
      <c r="AD229" s="1"/>
    </row>
    <row r="230" spans="6:30" x14ac:dyDescent="0.2">
      <c r="F230" s="1"/>
      <c r="G230" s="5"/>
      <c r="H230" s="24" t="s">
        <v>21</v>
      </c>
      <c r="I230" s="24" t="s">
        <v>17</v>
      </c>
      <c r="J230" s="23">
        <v>0.2</v>
      </c>
      <c r="K230" s="25">
        <v>8714.3700000000008</v>
      </c>
      <c r="L230" s="25">
        <f t="shared" ca="1" si="11"/>
        <v>1742.87</v>
      </c>
      <c r="M230" s="25">
        <v>1742.87</v>
      </c>
      <c r="N230" s="35">
        <f t="shared" ca="1" si="10"/>
        <v>0</v>
      </c>
      <c r="O230" s="26" t="s">
        <v>117</v>
      </c>
      <c r="P230" s="1"/>
      <c r="Q230" s="5"/>
      <c r="R230" s="41">
        <v>57403</v>
      </c>
      <c r="S230" s="41">
        <v>2</v>
      </c>
      <c r="T230" s="39" t="s">
        <v>388</v>
      </c>
      <c r="U230" s="40">
        <v>11.82</v>
      </c>
      <c r="V230" s="40">
        <v>11.82</v>
      </c>
      <c r="W230" s="40">
        <v>0</v>
      </c>
      <c r="X230" s="44"/>
      <c r="Y230" s="44"/>
      <c r="Z230" s="45"/>
      <c r="AA230" s="44"/>
      <c r="AB230" s="44"/>
      <c r="AC230" s="53" t="s">
        <v>117</v>
      </c>
      <c r="AD230" s="1"/>
    </row>
    <row r="231" spans="6:30" x14ac:dyDescent="0.2">
      <c r="F231" s="1"/>
      <c r="G231" s="5"/>
      <c r="H231" s="24" t="s">
        <v>22</v>
      </c>
      <c r="I231" s="24" t="s">
        <v>17</v>
      </c>
      <c r="J231" s="23">
        <v>0.2</v>
      </c>
      <c r="K231" s="25">
        <v>2800</v>
      </c>
      <c r="L231" s="25">
        <f t="shared" ca="1" si="11"/>
        <v>560</v>
      </c>
      <c r="M231" s="25">
        <v>560</v>
      </c>
      <c r="N231" s="35">
        <f t="shared" ca="1" si="10"/>
        <v>0</v>
      </c>
      <c r="O231" s="26" t="s">
        <v>117</v>
      </c>
      <c r="P231" s="1"/>
      <c r="Q231" s="5"/>
      <c r="R231" s="41">
        <v>57405</v>
      </c>
      <c r="S231" s="41">
        <v>2</v>
      </c>
      <c r="T231" s="39" t="s">
        <v>388</v>
      </c>
      <c r="U231" s="40">
        <v>124.53</v>
      </c>
      <c r="V231" s="40">
        <v>124.53</v>
      </c>
      <c r="W231" s="40">
        <v>0</v>
      </c>
      <c r="X231" s="44"/>
      <c r="Y231" s="44"/>
      <c r="Z231" s="45"/>
      <c r="AA231" s="44"/>
      <c r="AB231" s="44"/>
      <c r="AC231" s="53" t="s">
        <v>117</v>
      </c>
      <c r="AD231" s="1"/>
    </row>
    <row r="232" spans="6:30" x14ac:dyDescent="0.2">
      <c r="F232" s="1"/>
      <c r="G232" s="5"/>
      <c r="H232" s="24" t="s">
        <v>23</v>
      </c>
      <c r="I232" s="24" t="s">
        <v>17</v>
      </c>
      <c r="J232" s="23">
        <v>0.2</v>
      </c>
      <c r="K232" s="25">
        <v>120.09</v>
      </c>
      <c r="L232" s="25">
        <f t="shared" ca="1" si="11"/>
        <v>24.02</v>
      </c>
      <c r="M232" s="25">
        <v>24.02</v>
      </c>
      <c r="N232" s="35">
        <f t="shared" ca="1" si="10"/>
        <v>0</v>
      </c>
      <c r="O232" s="26" t="s">
        <v>117</v>
      </c>
      <c r="P232" s="1"/>
      <c r="Q232" s="5"/>
      <c r="R232" s="41">
        <v>57407</v>
      </c>
      <c r="S232" s="41">
        <v>2</v>
      </c>
      <c r="T232" s="39" t="s">
        <v>388</v>
      </c>
      <c r="U232" s="40">
        <v>11.09</v>
      </c>
      <c r="V232" s="40">
        <v>11.09</v>
      </c>
      <c r="W232" s="40">
        <v>0</v>
      </c>
      <c r="X232" s="44"/>
      <c r="Y232" s="44"/>
      <c r="Z232" s="45"/>
      <c r="AA232" s="44"/>
      <c r="AB232" s="44"/>
      <c r="AC232" s="53" t="s">
        <v>117</v>
      </c>
      <c r="AD232" s="1"/>
    </row>
    <row r="233" spans="6:30" x14ac:dyDescent="0.2">
      <c r="F233" s="1"/>
      <c r="G233" s="5"/>
      <c r="H233" s="24" t="s">
        <v>24</v>
      </c>
      <c r="I233" s="24" t="s">
        <v>17</v>
      </c>
      <c r="J233" s="23">
        <v>0.2</v>
      </c>
      <c r="K233" s="25">
        <v>39.520000000000003</v>
      </c>
      <c r="L233" s="25">
        <f t="shared" ca="1" si="11"/>
        <v>7.9</v>
      </c>
      <c r="M233" s="25">
        <v>7.9</v>
      </c>
      <c r="N233" s="35">
        <f t="shared" ca="1" si="10"/>
        <v>0</v>
      </c>
      <c r="O233" s="26" t="s">
        <v>117</v>
      </c>
      <c r="P233" s="1"/>
      <c r="Q233" s="5"/>
      <c r="R233" s="41">
        <v>57577</v>
      </c>
      <c r="S233" s="41">
        <v>2</v>
      </c>
      <c r="T233" s="39" t="s">
        <v>388</v>
      </c>
      <c r="U233" s="40">
        <v>-1.5</v>
      </c>
      <c r="V233" s="40">
        <v>-1.5</v>
      </c>
      <c r="W233" s="40">
        <v>0</v>
      </c>
      <c r="X233" s="44"/>
      <c r="Y233" s="44"/>
      <c r="Z233" s="45"/>
      <c r="AA233" s="44"/>
      <c r="AB233" s="44"/>
      <c r="AC233" s="53" t="s">
        <v>117</v>
      </c>
      <c r="AD233" s="1"/>
    </row>
    <row r="234" spans="6:30" x14ac:dyDescent="0.2">
      <c r="F234" s="1"/>
      <c r="G234" s="5"/>
      <c r="H234" s="24" t="s">
        <v>25</v>
      </c>
      <c r="I234" s="24" t="s">
        <v>17</v>
      </c>
      <c r="J234" s="23">
        <v>0.2</v>
      </c>
      <c r="K234" s="25">
        <v>88.31</v>
      </c>
      <c r="L234" s="25">
        <f t="shared" ca="1" si="11"/>
        <v>17.66</v>
      </c>
      <c r="M234" s="25">
        <v>17.66</v>
      </c>
      <c r="N234" s="35">
        <f t="shared" ca="1" si="10"/>
        <v>0</v>
      </c>
      <c r="O234" s="26" t="s">
        <v>117</v>
      </c>
      <c r="P234" s="1"/>
      <c r="Q234" s="5"/>
      <c r="R234" s="41">
        <v>57578</v>
      </c>
      <c r="S234" s="41">
        <v>2</v>
      </c>
      <c r="T234" s="39" t="s">
        <v>388</v>
      </c>
      <c r="U234" s="40">
        <v>-1.5</v>
      </c>
      <c r="V234" s="40">
        <v>-1.5</v>
      </c>
      <c r="W234" s="40">
        <v>0</v>
      </c>
      <c r="X234" s="44"/>
      <c r="Y234" s="44"/>
      <c r="Z234" s="45"/>
      <c r="AA234" s="44"/>
      <c r="AB234" s="44"/>
      <c r="AC234" s="53" t="s">
        <v>117</v>
      </c>
      <c r="AD234" s="1"/>
    </row>
    <row r="235" spans="6:30" x14ac:dyDescent="0.2">
      <c r="F235" s="1"/>
      <c r="G235" s="5"/>
      <c r="H235" s="24" t="s">
        <v>26</v>
      </c>
      <c r="I235" s="24" t="s">
        <v>17</v>
      </c>
      <c r="J235" s="23">
        <v>0.2</v>
      </c>
      <c r="K235" s="25">
        <v>49.2</v>
      </c>
      <c r="L235" s="25">
        <f t="shared" ca="1" si="11"/>
        <v>9.84</v>
      </c>
      <c r="M235" s="25">
        <v>9.84</v>
      </c>
      <c r="N235" s="35">
        <f t="shared" ca="1" si="10"/>
        <v>0</v>
      </c>
      <c r="O235" s="26" t="s">
        <v>117</v>
      </c>
      <c r="P235" s="1"/>
      <c r="Q235" s="5"/>
      <c r="R235" s="41">
        <v>57593</v>
      </c>
      <c r="S235" s="41">
        <v>2</v>
      </c>
      <c r="T235" s="39" t="s">
        <v>388</v>
      </c>
      <c r="U235" s="40">
        <v>1.5</v>
      </c>
      <c r="V235" s="40">
        <v>1.5</v>
      </c>
      <c r="W235" s="40">
        <v>0</v>
      </c>
      <c r="X235" s="44"/>
      <c r="Y235" s="44"/>
      <c r="Z235" s="45"/>
      <c r="AA235" s="44"/>
      <c r="AB235" s="44"/>
      <c r="AC235" s="53" t="s">
        <v>117</v>
      </c>
      <c r="AD235" s="1"/>
    </row>
    <row r="236" spans="6:30" x14ac:dyDescent="0.2">
      <c r="F236" s="1"/>
      <c r="G236" s="5"/>
      <c r="H236" s="24" t="s">
        <v>27</v>
      </c>
      <c r="I236" s="24" t="s">
        <v>17</v>
      </c>
      <c r="J236" s="23">
        <v>0.2</v>
      </c>
      <c r="K236" s="25">
        <v>950</v>
      </c>
      <c r="L236" s="25">
        <f t="shared" ca="1" si="11"/>
        <v>190</v>
      </c>
      <c r="M236" s="25">
        <v>190</v>
      </c>
      <c r="N236" s="35">
        <f t="shared" ca="1" si="10"/>
        <v>0</v>
      </c>
      <c r="O236" s="26" t="s">
        <v>117</v>
      </c>
      <c r="P236" s="1"/>
      <c r="Q236" s="5"/>
      <c r="R236" s="46" t="s">
        <v>406</v>
      </c>
      <c r="S236" s="46" t="s">
        <v>17</v>
      </c>
      <c r="T236" s="46" t="s">
        <v>388</v>
      </c>
      <c r="U236" s="42">
        <f ca="1">SUM(U219:U235)</f>
        <v>1833.8099999999997</v>
      </c>
      <c r="V236" s="42">
        <f ca="1">SUM(V219:V235)</f>
        <v>1833.8099999999997</v>
      </c>
      <c r="W236" s="47">
        <f ca="1">SUM(W219:W235)</f>
        <v>0</v>
      </c>
      <c r="X236" s="42">
        <v>1</v>
      </c>
      <c r="Y236" s="42">
        <f ca="1">W236-X236</f>
        <v>0</v>
      </c>
      <c r="Z236" s="46" t="s">
        <v>433</v>
      </c>
      <c r="AA236" s="42">
        <f ca="1">IF(Z236=$D$15,0,U236)</f>
        <v>0</v>
      </c>
      <c r="AB236" s="42">
        <f ca="1">IF(T236="GBP",0,U236)</f>
        <v>0</v>
      </c>
      <c r="AC236" s="54" t="s">
        <v>119</v>
      </c>
      <c r="AD236" s="1"/>
    </row>
    <row r="237" spans="6:30" x14ac:dyDescent="0.2">
      <c r="F237" s="1"/>
      <c r="G237" s="5"/>
      <c r="H237" s="24" t="s">
        <v>28</v>
      </c>
      <c r="I237" s="24" t="s">
        <v>17</v>
      </c>
      <c r="J237" s="23">
        <v>0.2</v>
      </c>
      <c r="K237" s="25">
        <v>17.600000000000001</v>
      </c>
      <c r="L237" s="25">
        <f t="shared" ca="1" si="11"/>
        <v>3.52</v>
      </c>
      <c r="M237" s="25">
        <v>3.52</v>
      </c>
      <c r="N237" s="35">
        <f t="shared" ca="1" si="10"/>
        <v>0</v>
      </c>
      <c r="O237" s="26" t="s">
        <v>117</v>
      </c>
      <c r="P237" s="1"/>
      <c r="Q237" s="5"/>
      <c r="R237" s="41">
        <v>57306</v>
      </c>
      <c r="S237" s="41">
        <v>2</v>
      </c>
      <c r="T237" s="39" t="s">
        <v>388</v>
      </c>
      <c r="U237" s="40">
        <v>33</v>
      </c>
      <c r="V237" s="40">
        <v>33</v>
      </c>
      <c r="W237" s="40">
        <v>0</v>
      </c>
      <c r="X237" s="44"/>
      <c r="Y237" s="44"/>
      <c r="Z237" s="45"/>
      <c r="AA237" s="44"/>
      <c r="AB237" s="44"/>
      <c r="AC237" s="53" t="s">
        <v>117</v>
      </c>
      <c r="AD237" s="1"/>
    </row>
    <row r="238" spans="6:30" x14ac:dyDescent="0.2">
      <c r="F238" s="1"/>
      <c r="G238" s="5"/>
      <c r="H238" s="24" t="s">
        <v>29</v>
      </c>
      <c r="I238" s="24" t="s">
        <v>17</v>
      </c>
      <c r="J238" s="23">
        <v>0.2</v>
      </c>
      <c r="K238" s="25">
        <v>82.35</v>
      </c>
      <c r="L238" s="25">
        <f t="shared" ca="1" si="11"/>
        <v>16.47</v>
      </c>
      <c r="M238" s="25">
        <v>16.47</v>
      </c>
      <c r="N238" s="35">
        <f t="shared" ca="1" si="10"/>
        <v>0</v>
      </c>
      <c r="O238" s="26" t="s">
        <v>117</v>
      </c>
      <c r="P238" s="1"/>
      <c r="Q238" s="5"/>
      <c r="R238" s="41">
        <v>57307</v>
      </c>
      <c r="S238" s="41">
        <v>2</v>
      </c>
      <c r="T238" s="39" t="s">
        <v>388</v>
      </c>
      <c r="U238" s="40">
        <v>57.71</v>
      </c>
      <c r="V238" s="40">
        <v>57.71</v>
      </c>
      <c r="W238" s="40">
        <v>0</v>
      </c>
      <c r="X238" s="44"/>
      <c r="Y238" s="44"/>
      <c r="Z238" s="45"/>
      <c r="AA238" s="44"/>
      <c r="AB238" s="44"/>
      <c r="AC238" s="53" t="s">
        <v>117</v>
      </c>
      <c r="AD238" s="1"/>
    </row>
    <row r="239" spans="6:30" x14ac:dyDescent="0.2">
      <c r="F239" s="1"/>
      <c r="G239" s="5"/>
      <c r="H239" s="24" t="s">
        <v>30</v>
      </c>
      <c r="I239" s="24" t="s">
        <v>17</v>
      </c>
      <c r="J239" s="23">
        <v>0.2</v>
      </c>
      <c r="K239" s="25">
        <v>7000</v>
      </c>
      <c r="L239" s="25">
        <f t="shared" ca="1" si="11"/>
        <v>1400</v>
      </c>
      <c r="M239" s="25">
        <v>1400</v>
      </c>
      <c r="N239" s="35">
        <f t="shared" ca="1" si="10"/>
        <v>0</v>
      </c>
      <c r="O239" s="26" t="s">
        <v>117</v>
      </c>
      <c r="P239" s="1"/>
      <c r="Q239" s="5"/>
      <c r="R239" s="41">
        <v>57327</v>
      </c>
      <c r="S239" s="41">
        <v>2</v>
      </c>
      <c r="T239" s="39" t="s">
        <v>388</v>
      </c>
      <c r="U239" s="40">
        <v>780</v>
      </c>
      <c r="V239" s="40">
        <v>780</v>
      </c>
      <c r="W239" s="40">
        <v>0</v>
      </c>
      <c r="X239" s="44"/>
      <c r="Y239" s="44"/>
      <c r="Z239" s="45"/>
      <c r="AA239" s="44"/>
      <c r="AB239" s="44"/>
      <c r="AC239" s="53" t="s">
        <v>117</v>
      </c>
      <c r="AD239" s="1"/>
    </row>
    <row r="240" spans="6:30" x14ac:dyDescent="0.2">
      <c r="F240" s="1"/>
      <c r="G240" s="5"/>
      <c r="H240" s="24" t="s">
        <v>31</v>
      </c>
      <c r="I240" s="24" t="s">
        <v>17</v>
      </c>
      <c r="J240" s="23">
        <v>0.2</v>
      </c>
      <c r="K240" s="25">
        <v>2895.85</v>
      </c>
      <c r="L240" s="25">
        <f t="shared" ca="1" si="11"/>
        <v>579.16999999999996</v>
      </c>
      <c r="M240" s="25">
        <v>579.16999999999996</v>
      </c>
      <c r="N240" s="35">
        <f t="shared" ca="1" si="10"/>
        <v>0</v>
      </c>
      <c r="O240" s="26" t="s">
        <v>117</v>
      </c>
      <c r="P240" s="1"/>
      <c r="Q240" s="5"/>
      <c r="R240" s="46" t="s">
        <v>407</v>
      </c>
      <c r="S240" s="46" t="s">
        <v>17</v>
      </c>
      <c r="T240" s="46" t="s">
        <v>388</v>
      </c>
      <c r="U240" s="42">
        <f ca="1">SUM(U237:U239)</f>
        <v>870.71</v>
      </c>
      <c r="V240" s="42">
        <f ca="1">SUM(V237:V239)</f>
        <v>870.71</v>
      </c>
      <c r="W240" s="47">
        <f ca="1">SUM(W237:W239)</f>
        <v>0</v>
      </c>
      <c r="X240" s="42">
        <v>1</v>
      </c>
      <c r="Y240" s="42">
        <f ca="1">W240-X240</f>
        <v>0</v>
      </c>
      <c r="Z240" s="46" t="s">
        <v>433</v>
      </c>
      <c r="AA240" s="42">
        <f ca="1">IF(Z240=$D$15,0,U240)</f>
        <v>0</v>
      </c>
      <c r="AB240" s="42">
        <f ca="1">IF(T240="GBP",0,U240)</f>
        <v>0</v>
      </c>
      <c r="AC240" s="54" t="s">
        <v>119</v>
      </c>
      <c r="AD240" s="1"/>
    </row>
    <row r="241" spans="6:30" x14ac:dyDescent="0.2">
      <c r="F241" s="1"/>
      <c r="G241" s="5"/>
      <c r="H241" s="24" t="s">
        <v>32</v>
      </c>
      <c r="I241" s="24" t="s">
        <v>17</v>
      </c>
      <c r="J241" s="23">
        <v>0.2</v>
      </c>
      <c r="K241" s="25">
        <v>3720.48</v>
      </c>
      <c r="L241" s="25">
        <f t="shared" ca="1" si="11"/>
        <v>744.1</v>
      </c>
      <c r="M241" s="25">
        <v>744.1</v>
      </c>
      <c r="N241" s="35">
        <f t="shared" ca="1" si="10"/>
        <v>0</v>
      </c>
      <c r="O241" s="26" t="s">
        <v>117</v>
      </c>
      <c r="P241" s="1"/>
      <c r="Q241" s="5"/>
      <c r="R241" s="41">
        <v>57205</v>
      </c>
      <c r="S241" s="41">
        <v>2</v>
      </c>
      <c r="T241" s="39" t="s">
        <v>388</v>
      </c>
      <c r="U241" s="40">
        <v>1742.87</v>
      </c>
      <c r="V241" s="40">
        <v>1742.87</v>
      </c>
      <c r="W241" s="40">
        <v>0</v>
      </c>
      <c r="X241" s="44"/>
      <c r="Y241" s="44"/>
      <c r="Z241" s="45"/>
      <c r="AA241" s="44"/>
      <c r="AB241" s="44"/>
      <c r="AC241" s="53" t="s">
        <v>117</v>
      </c>
      <c r="AD241" s="1"/>
    </row>
    <row r="242" spans="6:30" x14ac:dyDescent="0.2">
      <c r="F242" s="1"/>
      <c r="G242" s="5"/>
      <c r="H242" s="24" t="s">
        <v>33</v>
      </c>
      <c r="I242" s="24" t="s">
        <v>17</v>
      </c>
      <c r="J242" s="23">
        <v>0.2</v>
      </c>
      <c r="K242" s="25">
        <v>11640</v>
      </c>
      <c r="L242" s="25">
        <f t="shared" ca="1" si="11"/>
        <v>2328</v>
      </c>
      <c r="M242" s="25">
        <v>2328</v>
      </c>
      <c r="N242" s="35">
        <f t="shared" ca="1" si="10"/>
        <v>0</v>
      </c>
      <c r="O242" s="26" t="s">
        <v>117</v>
      </c>
      <c r="P242" s="1"/>
      <c r="Q242" s="5"/>
      <c r="R242" s="41">
        <v>57261</v>
      </c>
      <c r="S242" s="41">
        <v>2</v>
      </c>
      <c r="T242" s="39" t="s">
        <v>388</v>
      </c>
      <c r="U242" s="40">
        <v>2328</v>
      </c>
      <c r="V242" s="40">
        <v>2328</v>
      </c>
      <c r="W242" s="40">
        <v>0</v>
      </c>
      <c r="X242" s="44"/>
      <c r="Y242" s="44"/>
      <c r="Z242" s="45"/>
      <c r="AA242" s="44"/>
      <c r="AB242" s="44"/>
      <c r="AC242" s="53" t="s">
        <v>117</v>
      </c>
      <c r="AD242" s="1"/>
    </row>
    <row r="243" spans="6:30" x14ac:dyDescent="0.2">
      <c r="F243" s="1"/>
      <c r="G243" s="5"/>
      <c r="H243" s="24" t="s">
        <v>34</v>
      </c>
      <c r="I243" s="24" t="s">
        <v>17</v>
      </c>
      <c r="J243" s="23">
        <v>0.2</v>
      </c>
      <c r="K243" s="25">
        <v>3600</v>
      </c>
      <c r="L243" s="25">
        <f t="shared" ca="1" si="11"/>
        <v>720</v>
      </c>
      <c r="M243" s="25">
        <v>720</v>
      </c>
      <c r="N243" s="35">
        <f t="shared" ca="1" si="10"/>
        <v>0</v>
      </c>
      <c r="O243" s="26" t="s">
        <v>117</v>
      </c>
      <c r="P243" s="1"/>
      <c r="Q243" s="5"/>
      <c r="R243" s="41">
        <v>57262</v>
      </c>
      <c r="S243" s="41">
        <v>2</v>
      </c>
      <c r="T243" s="39" t="s">
        <v>388</v>
      </c>
      <c r="U243" s="40">
        <v>720</v>
      </c>
      <c r="V243" s="40">
        <v>720</v>
      </c>
      <c r="W243" s="40">
        <v>0</v>
      </c>
      <c r="X243" s="44"/>
      <c r="Y243" s="44"/>
      <c r="Z243" s="45"/>
      <c r="AA243" s="44"/>
      <c r="AB243" s="44"/>
      <c r="AC243" s="53" t="s">
        <v>117</v>
      </c>
      <c r="AD243" s="1"/>
    </row>
    <row r="244" spans="6:30" x14ac:dyDescent="0.2">
      <c r="F244" s="1"/>
      <c r="G244" s="5"/>
      <c r="H244" s="24" t="s">
        <v>35</v>
      </c>
      <c r="I244" s="24" t="s">
        <v>17</v>
      </c>
      <c r="J244" s="23">
        <v>0.2</v>
      </c>
      <c r="K244" s="25">
        <v>4785</v>
      </c>
      <c r="L244" s="25">
        <f t="shared" ca="1" si="11"/>
        <v>957</v>
      </c>
      <c r="M244" s="25">
        <v>957</v>
      </c>
      <c r="N244" s="35">
        <f t="shared" ca="1" si="10"/>
        <v>0</v>
      </c>
      <c r="O244" s="26" t="s">
        <v>117</v>
      </c>
      <c r="P244" s="1"/>
      <c r="Q244" s="5"/>
      <c r="R244" s="41">
        <v>57263</v>
      </c>
      <c r="S244" s="41">
        <v>2</v>
      </c>
      <c r="T244" s="39" t="s">
        <v>388</v>
      </c>
      <c r="U244" s="40">
        <v>957</v>
      </c>
      <c r="V244" s="40">
        <v>957</v>
      </c>
      <c r="W244" s="40">
        <v>0</v>
      </c>
      <c r="X244" s="44"/>
      <c r="Y244" s="44"/>
      <c r="Z244" s="45"/>
      <c r="AA244" s="44"/>
      <c r="AB244" s="44"/>
      <c r="AC244" s="53" t="s">
        <v>117</v>
      </c>
      <c r="AD244" s="1"/>
    </row>
    <row r="245" spans="6:30" x14ac:dyDescent="0.2">
      <c r="F245" s="1"/>
      <c r="G245" s="5"/>
      <c r="H245" s="24" t="s">
        <v>36</v>
      </c>
      <c r="I245" s="24" t="s">
        <v>17</v>
      </c>
      <c r="J245" s="23">
        <v>0.2</v>
      </c>
      <c r="K245" s="25">
        <v>1903.2</v>
      </c>
      <c r="L245" s="25">
        <f t="shared" ca="1" si="11"/>
        <v>380.64</v>
      </c>
      <c r="M245" s="25">
        <v>380.64</v>
      </c>
      <c r="N245" s="35">
        <f t="shared" ca="1" si="10"/>
        <v>0</v>
      </c>
      <c r="O245" s="26" t="s">
        <v>117</v>
      </c>
      <c r="P245" s="1"/>
      <c r="Q245" s="5"/>
      <c r="R245" s="41">
        <v>57296</v>
      </c>
      <c r="S245" s="41">
        <v>2</v>
      </c>
      <c r="T245" s="39" t="s">
        <v>388</v>
      </c>
      <c r="U245" s="40">
        <v>665</v>
      </c>
      <c r="V245" s="40">
        <v>665</v>
      </c>
      <c r="W245" s="40">
        <v>0</v>
      </c>
      <c r="X245" s="44"/>
      <c r="Y245" s="44"/>
      <c r="Z245" s="45"/>
      <c r="AA245" s="44"/>
      <c r="AB245" s="44"/>
      <c r="AC245" s="53" t="s">
        <v>117</v>
      </c>
      <c r="AD245" s="1"/>
    </row>
    <row r="246" spans="6:30" x14ac:dyDescent="0.2">
      <c r="F246" s="1"/>
      <c r="G246" s="5"/>
      <c r="H246" s="24" t="s">
        <v>292</v>
      </c>
      <c r="I246" s="24" t="s">
        <v>17</v>
      </c>
      <c r="J246" s="23">
        <v>0.2</v>
      </c>
      <c r="K246" s="25">
        <v>-120</v>
      </c>
      <c r="L246" s="25">
        <f t="shared" ca="1" si="11"/>
        <v>-24</v>
      </c>
      <c r="M246" s="25">
        <v>-24</v>
      </c>
      <c r="N246" s="35">
        <f t="shared" ca="1" si="10"/>
        <v>0</v>
      </c>
      <c r="O246" s="26" t="s">
        <v>117</v>
      </c>
      <c r="P246" s="1"/>
      <c r="Q246" s="5"/>
      <c r="R246" s="41">
        <v>57297</v>
      </c>
      <c r="S246" s="41">
        <v>2</v>
      </c>
      <c r="T246" s="39" t="s">
        <v>388</v>
      </c>
      <c r="U246" s="40">
        <v>760</v>
      </c>
      <c r="V246" s="40">
        <v>760</v>
      </c>
      <c r="W246" s="40">
        <v>0</v>
      </c>
      <c r="X246" s="44"/>
      <c r="Y246" s="44"/>
      <c r="Z246" s="45"/>
      <c r="AA246" s="44"/>
      <c r="AB246" s="44"/>
      <c r="AC246" s="53" t="s">
        <v>117</v>
      </c>
      <c r="AD246" s="1"/>
    </row>
    <row r="247" spans="6:30" x14ac:dyDescent="0.2">
      <c r="F247" s="1"/>
      <c r="G247" s="5"/>
      <c r="H247" s="24" t="s">
        <v>37</v>
      </c>
      <c r="I247" s="24" t="s">
        <v>17</v>
      </c>
      <c r="J247" s="23">
        <v>0.2</v>
      </c>
      <c r="K247" s="25">
        <v>109.62</v>
      </c>
      <c r="L247" s="25">
        <f t="shared" ca="1" si="11"/>
        <v>21.92</v>
      </c>
      <c r="M247" s="25">
        <v>21.92</v>
      </c>
      <c r="N247" s="35">
        <f t="shared" ca="1" si="10"/>
        <v>0</v>
      </c>
      <c r="O247" s="26" t="s">
        <v>117</v>
      </c>
      <c r="P247" s="1"/>
      <c r="Q247" s="5"/>
      <c r="R247" s="41">
        <v>57303</v>
      </c>
      <c r="S247" s="41">
        <v>2</v>
      </c>
      <c r="T247" s="39" t="s">
        <v>388</v>
      </c>
      <c r="U247" s="40">
        <v>597.14</v>
      </c>
      <c r="V247" s="40">
        <v>597.14</v>
      </c>
      <c r="W247" s="40">
        <v>0</v>
      </c>
      <c r="X247" s="44"/>
      <c r="Y247" s="44"/>
      <c r="Z247" s="45"/>
      <c r="AA247" s="44"/>
      <c r="AB247" s="44"/>
      <c r="AC247" s="53" t="s">
        <v>117</v>
      </c>
      <c r="AD247" s="1"/>
    </row>
    <row r="248" spans="6:30" x14ac:dyDescent="0.2">
      <c r="F248" s="1"/>
      <c r="G248" s="5"/>
      <c r="H248" s="24" t="s">
        <v>38</v>
      </c>
      <c r="I248" s="24" t="s">
        <v>17</v>
      </c>
      <c r="J248" s="23">
        <v>0.2</v>
      </c>
      <c r="K248" s="25">
        <v>440</v>
      </c>
      <c r="L248" s="25">
        <f t="shared" ca="1" si="11"/>
        <v>88</v>
      </c>
      <c r="M248" s="25">
        <v>88</v>
      </c>
      <c r="N248" s="35">
        <f t="shared" ca="1" si="10"/>
        <v>0</v>
      </c>
      <c r="O248" s="26" t="s">
        <v>117</v>
      </c>
      <c r="P248" s="1"/>
      <c r="Q248" s="5"/>
      <c r="R248" s="41">
        <v>57410</v>
      </c>
      <c r="S248" s="41">
        <v>2</v>
      </c>
      <c r="T248" s="39" t="s">
        <v>388</v>
      </c>
      <c r="U248" s="40">
        <v>793</v>
      </c>
      <c r="V248" s="40">
        <v>793</v>
      </c>
      <c r="W248" s="40">
        <v>0</v>
      </c>
      <c r="X248" s="44"/>
      <c r="Y248" s="44"/>
      <c r="Z248" s="45"/>
      <c r="AA248" s="44"/>
      <c r="AB248" s="44"/>
      <c r="AC248" s="53" t="s">
        <v>117</v>
      </c>
      <c r="AD248" s="1"/>
    </row>
    <row r="249" spans="6:30" x14ac:dyDescent="0.2">
      <c r="F249" s="1"/>
      <c r="G249" s="5"/>
      <c r="H249" s="24" t="s">
        <v>39</v>
      </c>
      <c r="I249" s="24" t="s">
        <v>17</v>
      </c>
      <c r="J249" s="23">
        <v>0.2</v>
      </c>
      <c r="K249" s="25">
        <v>7475</v>
      </c>
      <c r="L249" s="25">
        <f t="shared" ref="L249:L280" ca="1" si="12">ROUND(J249*K249,2)</f>
        <v>1495</v>
      </c>
      <c r="M249" s="25">
        <v>1495</v>
      </c>
      <c r="N249" s="35">
        <f t="shared" ca="1" si="10"/>
        <v>0</v>
      </c>
      <c r="O249" s="26" t="s">
        <v>117</v>
      </c>
      <c r="P249" s="1"/>
      <c r="Q249" s="5"/>
      <c r="R249" s="46" t="s">
        <v>408</v>
      </c>
      <c r="S249" s="46" t="s">
        <v>17</v>
      </c>
      <c r="T249" s="46" t="s">
        <v>388</v>
      </c>
      <c r="U249" s="42">
        <f ca="1">SUM(U241:U248)</f>
        <v>8563.01</v>
      </c>
      <c r="V249" s="42">
        <f ca="1">SUM(V241:V248)</f>
        <v>8563.01</v>
      </c>
      <c r="W249" s="47">
        <f ca="1">SUM(W241:W248)</f>
        <v>0</v>
      </c>
      <c r="X249" s="42">
        <v>1</v>
      </c>
      <c r="Y249" s="42">
        <f ca="1">W249-X249</f>
        <v>0</v>
      </c>
      <c r="Z249" s="46" t="s">
        <v>433</v>
      </c>
      <c r="AA249" s="42">
        <f ca="1">IF(Z249=$D$15,0,U249)</f>
        <v>0</v>
      </c>
      <c r="AB249" s="42">
        <f ca="1">IF(T249="GBP",0,U249)</f>
        <v>0</v>
      </c>
      <c r="AC249" s="54" t="s">
        <v>119</v>
      </c>
      <c r="AD249" s="1"/>
    </row>
    <row r="250" spans="6:30" x14ac:dyDescent="0.2">
      <c r="F250" s="1"/>
      <c r="G250" s="5"/>
      <c r="H250" s="24" t="s">
        <v>40</v>
      </c>
      <c r="I250" s="24" t="s">
        <v>17</v>
      </c>
      <c r="J250" s="23">
        <v>0.2</v>
      </c>
      <c r="K250" s="25">
        <v>3325</v>
      </c>
      <c r="L250" s="25">
        <f t="shared" ca="1" si="12"/>
        <v>665</v>
      </c>
      <c r="M250" s="25">
        <v>665</v>
      </c>
      <c r="N250" s="35">
        <f t="shared" ca="1" si="10"/>
        <v>0</v>
      </c>
      <c r="O250" s="26" t="s">
        <v>117</v>
      </c>
      <c r="P250" s="1"/>
      <c r="Q250" s="5"/>
      <c r="R250" s="41">
        <v>57443</v>
      </c>
      <c r="S250" s="41">
        <v>5</v>
      </c>
      <c r="T250" s="39" t="s">
        <v>388</v>
      </c>
      <c r="U250" s="40">
        <v>-210.9</v>
      </c>
      <c r="V250" s="40">
        <v>-210.9</v>
      </c>
      <c r="W250" s="40">
        <v>0</v>
      </c>
      <c r="X250" s="44"/>
      <c r="Y250" s="44"/>
      <c r="Z250" s="45"/>
      <c r="AA250" s="44"/>
      <c r="AB250" s="44"/>
      <c r="AC250" s="53" t="s">
        <v>117</v>
      </c>
      <c r="AD250" s="1"/>
    </row>
    <row r="251" spans="6:30" x14ac:dyDescent="0.2">
      <c r="F251" s="1"/>
      <c r="G251" s="5"/>
      <c r="H251" s="24" t="s">
        <v>41</v>
      </c>
      <c r="I251" s="24" t="s">
        <v>17</v>
      </c>
      <c r="J251" s="23">
        <v>0.2</v>
      </c>
      <c r="K251" s="25">
        <v>3800</v>
      </c>
      <c r="L251" s="25">
        <f t="shared" ca="1" si="12"/>
        <v>760</v>
      </c>
      <c r="M251" s="25">
        <v>760</v>
      </c>
      <c r="N251" s="35">
        <f t="shared" ca="1" si="10"/>
        <v>0</v>
      </c>
      <c r="O251" s="26" t="s">
        <v>117</v>
      </c>
      <c r="P251" s="1"/>
      <c r="Q251" s="5"/>
      <c r="R251" s="41">
        <v>57445</v>
      </c>
      <c r="S251" s="41">
        <v>6</v>
      </c>
      <c r="T251" s="39" t="s">
        <v>388</v>
      </c>
      <c r="U251" s="40">
        <v>-227.19</v>
      </c>
      <c r="V251" s="40">
        <v>-227.19</v>
      </c>
      <c r="W251" s="40">
        <v>0</v>
      </c>
      <c r="X251" s="44"/>
      <c r="Y251" s="44"/>
      <c r="Z251" s="45"/>
      <c r="AA251" s="44"/>
      <c r="AB251" s="44"/>
      <c r="AC251" s="53" t="s">
        <v>117</v>
      </c>
      <c r="AD251" s="1"/>
    </row>
    <row r="252" spans="6:30" x14ac:dyDescent="0.2">
      <c r="F252" s="1"/>
      <c r="G252" s="5"/>
      <c r="H252" s="24" t="s">
        <v>42</v>
      </c>
      <c r="I252" s="24" t="s">
        <v>17</v>
      </c>
      <c r="J252" s="23">
        <v>0.2</v>
      </c>
      <c r="K252" s="25">
        <v>201.6</v>
      </c>
      <c r="L252" s="25">
        <f t="shared" ca="1" si="12"/>
        <v>40.32</v>
      </c>
      <c r="M252" s="25">
        <v>40.32</v>
      </c>
      <c r="N252" s="35">
        <f t="shared" ca="1" si="10"/>
        <v>0</v>
      </c>
      <c r="O252" s="26" t="s">
        <v>117</v>
      </c>
      <c r="P252" s="1"/>
      <c r="Q252" s="5"/>
      <c r="R252" s="41">
        <v>57471</v>
      </c>
      <c r="S252" s="41">
        <v>15</v>
      </c>
      <c r="T252" s="39" t="s">
        <v>388</v>
      </c>
      <c r="U252" s="40">
        <v>-6425.83</v>
      </c>
      <c r="V252" s="40">
        <v>-6425.83</v>
      </c>
      <c r="W252" s="40">
        <v>0</v>
      </c>
      <c r="X252" s="44"/>
      <c r="Y252" s="44"/>
      <c r="Z252" s="45"/>
      <c r="AA252" s="44"/>
      <c r="AB252" s="44"/>
      <c r="AC252" s="53" t="s">
        <v>117</v>
      </c>
      <c r="AD252" s="1"/>
    </row>
    <row r="253" spans="6:30" x14ac:dyDescent="0.2">
      <c r="F253" s="1"/>
      <c r="G253" s="5"/>
      <c r="H253" s="24" t="s">
        <v>293</v>
      </c>
      <c r="I253" s="24" t="s">
        <v>17</v>
      </c>
      <c r="J253" s="23">
        <v>0.2</v>
      </c>
      <c r="K253" s="25">
        <v>-850</v>
      </c>
      <c r="L253" s="25">
        <f t="shared" ca="1" si="12"/>
        <v>-170</v>
      </c>
      <c r="M253" s="25">
        <v>-170</v>
      </c>
      <c r="N253" s="35">
        <f t="shared" ca="1" si="10"/>
        <v>0</v>
      </c>
      <c r="O253" s="26" t="s">
        <v>117</v>
      </c>
      <c r="P253" s="1"/>
      <c r="Q253" s="5"/>
      <c r="R253" s="46" t="s">
        <v>408</v>
      </c>
      <c r="S253" s="46" t="s">
        <v>360</v>
      </c>
      <c r="T253" s="46" t="s">
        <v>388</v>
      </c>
      <c r="U253" s="42">
        <f ca="1">SUM(U250:U252)</f>
        <v>-6863.92</v>
      </c>
      <c r="V253" s="42">
        <f ca="1">SUM(V250:V252)</f>
        <v>-6863.92</v>
      </c>
      <c r="W253" s="47">
        <f ca="1">SUM(W250:W252)</f>
        <v>0</v>
      </c>
      <c r="X253" s="42">
        <v>1</v>
      </c>
      <c r="Y253" s="42">
        <f ca="1">W253-X253</f>
        <v>0</v>
      </c>
      <c r="Z253" s="46" t="s">
        <v>433</v>
      </c>
      <c r="AA253" s="42">
        <f ca="1">IF(Z253=$D$15,0,U253)</f>
        <v>0</v>
      </c>
      <c r="AB253" s="42">
        <f ca="1">IF(T253="GBP",0,U253)</f>
        <v>0</v>
      </c>
      <c r="AC253" s="54" t="s">
        <v>119</v>
      </c>
      <c r="AD253" s="1"/>
    </row>
    <row r="254" spans="6:30" x14ac:dyDescent="0.2">
      <c r="F254" s="1"/>
      <c r="G254" s="5"/>
      <c r="H254" s="24" t="s">
        <v>46</v>
      </c>
      <c r="I254" s="24" t="s">
        <v>17</v>
      </c>
      <c r="J254" s="23">
        <v>0.2</v>
      </c>
      <c r="K254" s="25">
        <v>2985.71</v>
      </c>
      <c r="L254" s="25">
        <f t="shared" ca="1" si="12"/>
        <v>597.14</v>
      </c>
      <c r="M254" s="25">
        <v>597.14</v>
      </c>
      <c r="N254" s="35">
        <f t="shared" ca="1" si="10"/>
        <v>0</v>
      </c>
      <c r="O254" s="26" t="s">
        <v>117</v>
      </c>
      <c r="P254" s="1"/>
      <c r="Q254" s="5"/>
      <c r="R254" s="41">
        <v>57204</v>
      </c>
      <c r="S254" s="41">
        <v>2</v>
      </c>
      <c r="T254" s="39" t="s">
        <v>388</v>
      </c>
      <c r="U254" s="40">
        <v>1250</v>
      </c>
      <c r="V254" s="40">
        <v>1250</v>
      </c>
      <c r="W254" s="40">
        <v>0</v>
      </c>
      <c r="X254" s="44"/>
      <c r="Y254" s="44"/>
      <c r="Z254" s="45"/>
      <c r="AA254" s="44"/>
      <c r="AB254" s="44"/>
      <c r="AC254" s="53" t="s">
        <v>117</v>
      </c>
      <c r="AD254" s="1"/>
    </row>
    <row r="255" spans="6:30" x14ac:dyDescent="0.2">
      <c r="F255" s="1"/>
      <c r="G255" s="5"/>
      <c r="H255" s="24" t="s">
        <v>48</v>
      </c>
      <c r="I255" s="24" t="s">
        <v>17</v>
      </c>
      <c r="J255" s="23">
        <v>0.2</v>
      </c>
      <c r="K255" s="25">
        <v>165</v>
      </c>
      <c r="L255" s="25">
        <f t="shared" ca="1" si="12"/>
        <v>33</v>
      </c>
      <c r="M255" s="25">
        <v>33</v>
      </c>
      <c r="N255" s="35">
        <f t="shared" ca="1" si="10"/>
        <v>0</v>
      </c>
      <c r="O255" s="26" t="s">
        <v>117</v>
      </c>
      <c r="P255" s="1"/>
      <c r="Q255" s="5"/>
      <c r="R255" s="41">
        <v>57323</v>
      </c>
      <c r="S255" s="41">
        <v>2</v>
      </c>
      <c r="T255" s="39" t="s">
        <v>388</v>
      </c>
      <c r="U255" s="40">
        <v>108.5</v>
      </c>
      <c r="V255" s="40">
        <v>108.5</v>
      </c>
      <c r="W255" s="40">
        <v>0</v>
      </c>
      <c r="X255" s="44"/>
      <c r="Y255" s="44"/>
      <c r="Z255" s="45"/>
      <c r="AA255" s="44"/>
      <c r="AB255" s="44"/>
      <c r="AC255" s="53" t="s">
        <v>117</v>
      </c>
      <c r="AD255" s="1"/>
    </row>
    <row r="256" spans="6:30" x14ac:dyDescent="0.2">
      <c r="F256" s="1"/>
      <c r="G256" s="5"/>
      <c r="H256" s="24" t="s">
        <v>49</v>
      </c>
      <c r="I256" s="24" t="s">
        <v>17</v>
      </c>
      <c r="J256" s="23">
        <v>0.2</v>
      </c>
      <c r="K256" s="25">
        <v>288.54000000000002</v>
      </c>
      <c r="L256" s="25">
        <f t="shared" ca="1" si="12"/>
        <v>57.71</v>
      </c>
      <c r="M256" s="25">
        <v>57.71</v>
      </c>
      <c r="N256" s="35">
        <f t="shared" ca="1" si="10"/>
        <v>0</v>
      </c>
      <c r="O256" s="26" t="s">
        <v>117</v>
      </c>
      <c r="P256" s="1"/>
      <c r="Q256" s="5"/>
      <c r="R256" s="41">
        <v>57419</v>
      </c>
      <c r="S256" s="41">
        <v>2</v>
      </c>
      <c r="T256" s="39" t="s">
        <v>388</v>
      </c>
      <c r="U256" s="40">
        <v>5000</v>
      </c>
      <c r="V256" s="40">
        <v>5000</v>
      </c>
      <c r="W256" s="40">
        <v>0</v>
      </c>
      <c r="X256" s="44"/>
      <c r="Y256" s="44"/>
      <c r="Z256" s="45"/>
      <c r="AA256" s="44"/>
      <c r="AB256" s="44"/>
      <c r="AC256" s="53" t="s">
        <v>117</v>
      </c>
      <c r="AD256" s="1"/>
    </row>
    <row r="257" spans="6:30" x14ac:dyDescent="0.2">
      <c r="F257" s="1"/>
      <c r="G257" s="5"/>
      <c r="H257" s="24" t="s">
        <v>50</v>
      </c>
      <c r="I257" s="24" t="s">
        <v>17</v>
      </c>
      <c r="J257" s="23">
        <v>0.2</v>
      </c>
      <c r="K257" s="25">
        <v>405.29</v>
      </c>
      <c r="L257" s="25">
        <f t="shared" ca="1" si="12"/>
        <v>81.06</v>
      </c>
      <c r="M257" s="25">
        <v>81.06</v>
      </c>
      <c r="N257" s="35">
        <f t="shared" ca="1" si="10"/>
        <v>0</v>
      </c>
      <c r="O257" s="26" t="s">
        <v>117</v>
      </c>
      <c r="P257" s="1"/>
      <c r="Q257" s="5"/>
      <c r="R257" s="41">
        <v>57516</v>
      </c>
      <c r="S257" s="41">
        <v>2</v>
      </c>
      <c r="T257" s="39" t="s">
        <v>388</v>
      </c>
      <c r="U257" s="40">
        <v>30.7</v>
      </c>
      <c r="V257" s="40">
        <v>30.7</v>
      </c>
      <c r="W257" s="40">
        <v>0</v>
      </c>
      <c r="X257" s="44"/>
      <c r="Y257" s="44"/>
      <c r="Z257" s="45"/>
      <c r="AA257" s="44"/>
      <c r="AB257" s="44"/>
      <c r="AC257" s="53" t="s">
        <v>117</v>
      </c>
      <c r="AD257" s="1"/>
    </row>
    <row r="258" spans="6:30" x14ac:dyDescent="0.2">
      <c r="F258" s="1"/>
      <c r="G258" s="5"/>
      <c r="H258" s="24" t="s">
        <v>51</v>
      </c>
      <c r="I258" s="24" t="s">
        <v>17</v>
      </c>
      <c r="J258" s="23">
        <v>0.2</v>
      </c>
      <c r="K258" s="25">
        <v>131.25</v>
      </c>
      <c r="L258" s="25">
        <f t="shared" ca="1" si="12"/>
        <v>26.25</v>
      </c>
      <c r="M258" s="25">
        <v>26.25</v>
      </c>
      <c r="N258" s="35">
        <f t="shared" ca="1" si="10"/>
        <v>0</v>
      </c>
      <c r="O258" s="26" t="s">
        <v>117</v>
      </c>
      <c r="P258" s="1"/>
      <c r="Q258" s="5"/>
      <c r="R258" s="41">
        <v>57524</v>
      </c>
      <c r="S258" s="41">
        <v>2</v>
      </c>
      <c r="T258" s="39" t="s">
        <v>388</v>
      </c>
      <c r="U258" s="40">
        <v>179.7</v>
      </c>
      <c r="V258" s="40">
        <v>179.7</v>
      </c>
      <c r="W258" s="40">
        <v>0</v>
      </c>
      <c r="X258" s="44"/>
      <c r="Y258" s="44"/>
      <c r="Z258" s="45"/>
      <c r="AA258" s="44"/>
      <c r="AB258" s="44"/>
      <c r="AC258" s="53" t="s">
        <v>117</v>
      </c>
      <c r="AD258" s="1"/>
    </row>
    <row r="259" spans="6:30" x14ac:dyDescent="0.2">
      <c r="F259" s="1"/>
      <c r="G259" s="5"/>
      <c r="H259" s="24" t="s">
        <v>52</v>
      </c>
      <c r="I259" s="24" t="s">
        <v>17</v>
      </c>
      <c r="J259" s="23">
        <v>0.2</v>
      </c>
      <c r="K259" s="25">
        <v>189.73</v>
      </c>
      <c r="L259" s="25">
        <f t="shared" ca="1" si="12"/>
        <v>37.950000000000003</v>
      </c>
      <c r="M259" s="25">
        <v>37.950000000000003</v>
      </c>
      <c r="N259" s="35">
        <f t="shared" ca="1" si="10"/>
        <v>0</v>
      </c>
      <c r="O259" s="26" t="s">
        <v>117</v>
      </c>
      <c r="P259" s="1"/>
      <c r="Q259" s="5"/>
      <c r="R259" s="41">
        <v>57526</v>
      </c>
      <c r="S259" s="41">
        <v>2</v>
      </c>
      <c r="T259" s="39" t="s">
        <v>388</v>
      </c>
      <c r="U259" s="40">
        <v>36.17</v>
      </c>
      <c r="V259" s="40">
        <v>36.17</v>
      </c>
      <c r="W259" s="40">
        <v>0</v>
      </c>
      <c r="X259" s="44"/>
      <c r="Y259" s="44"/>
      <c r="Z259" s="45"/>
      <c r="AA259" s="44"/>
      <c r="AB259" s="44"/>
      <c r="AC259" s="53" t="s">
        <v>117</v>
      </c>
      <c r="AD259" s="1"/>
    </row>
    <row r="260" spans="6:30" x14ac:dyDescent="0.2">
      <c r="F260" s="1"/>
      <c r="G260" s="5"/>
      <c r="H260" s="24" t="s">
        <v>53</v>
      </c>
      <c r="I260" s="24" t="s">
        <v>17</v>
      </c>
      <c r="J260" s="23">
        <v>0.2</v>
      </c>
      <c r="K260" s="25">
        <v>150.30000000000001</v>
      </c>
      <c r="L260" s="25">
        <f t="shared" ca="1" si="12"/>
        <v>30.06</v>
      </c>
      <c r="M260" s="25">
        <v>30.06</v>
      </c>
      <c r="N260" s="35">
        <f t="shared" ca="1" si="10"/>
        <v>0</v>
      </c>
      <c r="O260" s="26" t="s">
        <v>117</v>
      </c>
      <c r="P260" s="1"/>
      <c r="Q260" s="5"/>
      <c r="R260" s="46" t="s">
        <v>409</v>
      </c>
      <c r="S260" s="46" t="s">
        <v>17</v>
      </c>
      <c r="T260" s="46" t="s">
        <v>388</v>
      </c>
      <c r="U260" s="42">
        <f ca="1">SUM(U254:U259)</f>
        <v>6605.07</v>
      </c>
      <c r="V260" s="42">
        <f ca="1">SUM(V254:V259)</f>
        <v>6605.07</v>
      </c>
      <c r="W260" s="47">
        <f ca="1">SUM(W254:W259)</f>
        <v>0</v>
      </c>
      <c r="X260" s="42">
        <v>1</v>
      </c>
      <c r="Y260" s="42">
        <f ca="1">W260-X260</f>
        <v>0</v>
      </c>
      <c r="Z260" s="46" t="s">
        <v>433</v>
      </c>
      <c r="AA260" s="42">
        <f ca="1">IF(Z260=$D$15,0,U260)</f>
        <v>0</v>
      </c>
      <c r="AB260" s="42">
        <f ca="1">IF(T260="GBP",0,U260)</f>
        <v>0</v>
      </c>
      <c r="AC260" s="54" t="s">
        <v>119</v>
      </c>
      <c r="AD260" s="1"/>
    </row>
    <row r="261" spans="6:30" x14ac:dyDescent="0.2">
      <c r="F261" s="1"/>
      <c r="G261" s="5"/>
      <c r="H261" s="24" t="s">
        <v>54</v>
      </c>
      <c r="I261" s="24" t="s">
        <v>17</v>
      </c>
      <c r="J261" s="23">
        <v>0.2</v>
      </c>
      <c r="K261" s="25">
        <v>1437.68</v>
      </c>
      <c r="L261" s="25">
        <f t="shared" ca="1" si="12"/>
        <v>287.54000000000002</v>
      </c>
      <c r="M261" s="25">
        <v>287.54000000000002</v>
      </c>
      <c r="N261" s="35">
        <f t="shared" ca="1" si="10"/>
        <v>0</v>
      </c>
      <c r="O261" s="26" t="s">
        <v>117</v>
      </c>
      <c r="P261" s="1"/>
      <c r="Q261" s="5"/>
      <c r="R261" s="41">
        <v>57308</v>
      </c>
      <c r="S261" s="41">
        <v>2</v>
      </c>
      <c r="T261" s="39" t="s">
        <v>388</v>
      </c>
      <c r="U261" s="40">
        <v>81.06</v>
      </c>
      <c r="V261" s="40">
        <v>81.06</v>
      </c>
      <c r="W261" s="40">
        <v>0</v>
      </c>
      <c r="X261" s="44"/>
      <c r="Y261" s="44"/>
      <c r="Z261" s="45"/>
      <c r="AA261" s="44"/>
      <c r="AB261" s="44"/>
      <c r="AC261" s="53" t="s">
        <v>117</v>
      </c>
      <c r="AD261" s="1"/>
    </row>
    <row r="262" spans="6:30" x14ac:dyDescent="0.2">
      <c r="F262" s="1"/>
      <c r="G262" s="5"/>
      <c r="H262" s="24" t="s">
        <v>55</v>
      </c>
      <c r="I262" s="24" t="s">
        <v>17</v>
      </c>
      <c r="J262" s="23">
        <v>0.2</v>
      </c>
      <c r="K262" s="25">
        <v>10</v>
      </c>
      <c r="L262" s="25">
        <f t="shared" ca="1" si="12"/>
        <v>2</v>
      </c>
      <c r="M262" s="25">
        <v>2</v>
      </c>
      <c r="N262" s="35">
        <f t="shared" ca="1" si="10"/>
        <v>0</v>
      </c>
      <c r="O262" s="26" t="s">
        <v>117</v>
      </c>
      <c r="P262" s="1"/>
      <c r="Q262" s="5"/>
      <c r="R262" s="41">
        <v>57309</v>
      </c>
      <c r="S262" s="41">
        <v>2</v>
      </c>
      <c r="T262" s="39" t="s">
        <v>388</v>
      </c>
      <c r="U262" s="40">
        <v>26.25</v>
      </c>
      <c r="V262" s="40">
        <v>26.25</v>
      </c>
      <c r="W262" s="40">
        <v>0</v>
      </c>
      <c r="X262" s="44"/>
      <c r="Y262" s="44"/>
      <c r="Z262" s="45"/>
      <c r="AA262" s="44"/>
      <c r="AB262" s="44"/>
      <c r="AC262" s="53" t="s">
        <v>117</v>
      </c>
      <c r="AD262" s="1"/>
    </row>
    <row r="263" spans="6:30" x14ac:dyDescent="0.2">
      <c r="F263" s="1"/>
      <c r="G263" s="5"/>
      <c r="H263" s="24" t="s">
        <v>56</v>
      </c>
      <c r="I263" s="24" t="s">
        <v>17</v>
      </c>
      <c r="J263" s="23">
        <v>0.2</v>
      </c>
      <c r="K263" s="25">
        <v>10</v>
      </c>
      <c r="L263" s="25">
        <f t="shared" ca="1" si="12"/>
        <v>2</v>
      </c>
      <c r="M263" s="25">
        <v>2</v>
      </c>
      <c r="N263" s="35">
        <f t="shared" ca="1" si="10"/>
        <v>0</v>
      </c>
      <c r="O263" s="26" t="s">
        <v>117</v>
      </c>
      <c r="P263" s="1"/>
      <c r="Q263" s="5"/>
      <c r="R263" s="41">
        <v>57325</v>
      </c>
      <c r="S263" s="41">
        <v>2</v>
      </c>
      <c r="T263" s="39" t="s">
        <v>388</v>
      </c>
      <c r="U263" s="40">
        <v>16.5</v>
      </c>
      <c r="V263" s="40">
        <v>16.5</v>
      </c>
      <c r="W263" s="40">
        <v>0</v>
      </c>
      <c r="X263" s="44"/>
      <c r="Y263" s="44"/>
      <c r="Z263" s="45"/>
      <c r="AA263" s="44"/>
      <c r="AB263" s="44"/>
      <c r="AC263" s="53" t="s">
        <v>117</v>
      </c>
      <c r="AD263" s="1"/>
    </row>
    <row r="264" spans="6:30" x14ac:dyDescent="0.2">
      <c r="F264" s="1"/>
      <c r="G264" s="5"/>
      <c r="H264" s="24" t="s">
        <v>57</v>
      </c>
      <c r="I264" s="24" t="s">
        <v>17</v>
      </c>
      <c r="J264" s="23">
        <v>0.2</v>
      </c>
      <c r="K264" s="25">
        <v>10</v>
      </c>
      <c r="L264" s="25">
        <f t="shared" ca="1" si="12"/>
        <v>2</v>
      </c>
      <c r="M264" s="25">
        <v>2</v>
      </c>
      <c r="N264" s="35">
        <f t="shared" ca="1" si="10"/>
        <v>0</v>
      </c>
      <c r="O264" s="26" t="s">
        <v>117</v>
      </c>
      <c r="P264" s="1"/>
      <c r="Q264" s="5"/>
      <c r="R264" s="41">
        <v>57402</v>
      </c>
      <c r="S264" s="41">
        <v>2</v>
      </c>
      <c r="T264" s="39" t="s">
        <v>388</v>
      </c>
      <c r="U264" s="40">
        <v>43.03</v>
      </c>
      <c r="V264" s="40">
        <v>43.03</v>
      </c>
      <c r="W264" s="40">
        <v>0</v>
      </c>
      <c r="X264" s="44"/>
      <c r="Y264" s="44"/>
      <c r="Z264" s="45"/>
      <c r="AA264" s="44"/>
      <c r="AB264" s="44"/>
      <c r="AC264" s="53" t="s">
        <v>117</v>
      </c>
      <c r="AD264" s="1"/>
    </row>
    <row r="265" spans="6:30" x14ac:dyDescent="0.2">
      <c r="F265" s="1"/>
      <c r="G265" s="5"/>
      <c r="H265" s="24" t="s">
        <v>58</v>
      </c>
      <c r="I265" s="24" t="s">
        <v>17</v>
      </c>
      <c r="J265" s="23">
        <v>0.2</v>
      </c>
      <c r="K265" s="25">
        <v>10</v>
      </c>
      <c r="L265" s="25">
        <f t="shared" ca="1" si="12"/>
        <v>2</v>
      </c>
      <c r="M265" s="25">
        <v>2</v>
      </c>
      <c r="N265" s="35">
        <f t="shared" ca="1" si="10"/>
        <v>0</v>
      </c>
      <c r="O265" s="26" t="s">
        <v>117</v>
      </c>
      <c r="P265" s="1"/>
      <c r="Q265" s="5"/>
      <c r="R265" s="46" t="s">
        <v>410</v>
      </c>
      <c r="S265" s="46" t="s">
        <v>17</v>
      </c>
      <c r="T265" s="46" t="s">
        <v>388</v>
      </c>
      <c r="U265" s="42">
        <f ca="1">SUM(U261:U264)</f>
        <v>166.84</v>
      </c>
      <c r="V265" s="42">
        <f ca="1">SUM(V261:V264)</f>
        <v>166.84</v>
      </c>
      <c r="W265" s="47">
        <f ca="1">SUM(W261:W264)</f>
        <v>0</v>
      </c>
      <c r="X265" s="42">
        <v>1</v>
      </c>
      <c r="Y265" s="42">
        <f ca="1">W265-X265</f>
        <v>0</v>
      </c>
      <c r="Z265" s="46" t="s">
        <v>439</v>
      </c>
      <c r="AA265" s="42">
        <f ca="1">IF(Z265=$D$15,0,U265)</f>
        <v>166.84</v>
      </c>
      <c r="AB265" s="42">
        <f ca="1">IF(T265="GBP",0,U265)</f>
        <v>0</v>
      </c>
      <c r="AC265" s="54" t="s">
        <v>119</v>
      </c>
      <c r="AD265" s="1"/>
    </row>
    <row r="266" spans="6:30" x14ac:dyDescent="0.2">
      <c r="F266" s="1"/>
      <c r="G266" s="5"/>
      <c r="H266" s="24" t="s">
        <v>59</v>
      </c>
      <c r="I266" s="24" t="s">
        <v>17</v>
      </c>
      <c r="J266" s="23">
        <v>0.2</v>
      </c>
      <c r="K266" s="25">
        <v>10</v>
      </c>
      <c r="L266" s="25">
        <f t="shared" ca="1" si="12"/>
        <v>2</v>
      </c>
      <c r="M266" s="25">
        <v>2</v>
      </c>
      <c r="N266" s="35">
        <f t="shared" ca="1" si="10"/>
        <v>0</v>
      </c>
      <c r="O266" s="26" t="s">
        <v>117</v>
      </c>
      <c r="P266" s="1"/>
      <c r="Q266" s="5"/>
      <c r="R266" s="41">
        <v>57209</v>
      </c>
      <c r="S266" s="41">
        <v>2</v>
      </c>
      <c r="T266" s="39" t="s">
        <v>388</v>
      </c>
      <c r="U266" s="40">
        <v>17.66</v>
      </c>
      <c r="V266" s="40">
        <v>17.66</v>
      </c>
      <c r="W266" s="40">
        <v>0</v>
      </c>
      <c r="X266" s="44"/>
      <c r="Y266" s="44"/>
      <c r="Z266" s="45"/>
      <c r="AA266" s="44"/>
      <c r="AB266" s="44"/>
      <c r="AC266" s="53" t="s">
        <v>117</v>
      </c>
      <c r="AD266" s="1"/>
    </row>
    <row r="267" spans="6:30" x14ac:dyDescent="0.2">
      <c r="F267" s="1"/>
      <c r="G267" s="5"/>
      <c r="H267" s="24" t="s">
        <v>60</v>
      </c>
      <c r="I267" s="24" t="s">
        <v>17</v>
      </c>
      <c r="J267" s="23">
        <v>0.2</v>
      </c>
      <c r="K267" s="25">
        <v>542.5</v>
      </c>
      <c r="L267" s="25">
        <f t="shared" ca="1" si="12"/>
        <v>108.5</v>
      </c>
      <c r="M267" s="25">
        <v>108.5</v>
      </c>
      <c r="N267" s="35">
        <f t="shared" ca="1" si="10"/>
        <v>0</v>
      </c>
      <c r="O267" s="26" t="s">
        <v>117</v>
      </c>
      <c r="P267" s="1"/>
      <c r="Q267" s="5"/>
      <c r="R267" s="41">
        <v>57311</v>
      </c>
      <c r="S267" s="41">
        <v>2</v>
      </c>
      <c r="T267" s="39" t="s">
        <v>388</v>
      </c>
      <c r="U267" s="40">
        <v>30.06</v>
      </c>
      <c r="V267" s="40">
        <v>30.06</v>
      </c>
      <c r="W267" s="40">
        <v>0</v>
      </c>
      <c r="X267" s="44"/>
      <c r="Y267" s="44"/>
      <c r="Z267" s="45"/>
      <c r="AA267" s="44"/>
      <c r="AB267" s="44"/>
      <c r="AC267" s="53" t="s">
        <v>117</v>
      </c>
      <c r="AD267" s="1"/>
    </row>
    <row r="268" spans="6:30" x14ac:dyDescent="0.2">
      <c r="F268" s="1"/>
      <c r="G268" s="5"/>
      <c r="H268" s="24" t="s">
        <v>61</v>
      </c>
      <c r="I268" s="24" t="s">
        <v>17</v>
      </c>
      <c r="J268" s="23">
        <v>0.2</v>
      </c>
      <c r="K268" s="25">
        <v>167.94</v>
      </c>
      <c r="L268" s="25">
        <f t="shared" ca="1" si="12"/>
        <v>33.590000000000003</v>
      </c>
      <c r="M268" s="25">
        <v>33.590000000000003</v>
      </c>
      <c r="N268" s="35">
        <f t="shared" ca="1" si="10"/>
        <v>0</v>
      </c>
      <c r="O268" s="26" t="s">
        <v>117</v>
      </c>
      <c r="P268" s="1"/>
      <c r="Q268" s="5"/>
      <c r="R268" s="41">
        <v>57406</v>
      </c>
      <c r="S268" s="41">
        <v>3</v>
      </c>
      <c r="T268" s="39" t="s">
        <v>388</v>
      </c>
      <c r="U268" s="40">
        <v>50.93</v>
      </c>
      <c r="V268" s="40">
        <v>50.93</v>
      </c>
      <c r="W268" s="40">
        <v>0</v>
      </c>
      <c r="X268" s="44"/>
      <c r="Y268" s="44"/>
      <c r="Z268" s="45"/>
      <c r="AA268" s="44"/>
      <c r="AB268" s="44"/>
      <c r="AC268" s="53" t="s">
        <v>117</v>
      </c>
      <c r="AD268" s="1"/>
    </row>
    <row r="269" spans="6:30" x14ac:dyDescent="0.2">
      <c r="F269" s="1"/>
      <c r="G269" s="5"/>
      <c r="H269" s="24" t="s">
        <v>62</v>
      </c>
      <c r="I269" s="24" t="s">
        <v>17</v>
      </c>
      <c r="J269" s="23">
        <v>0.2</v>
      </c>
      <c r="K269" s="25">
        <v>82.5</v>
      </c>
      <c r="L269" s="25">
        <f t="shared" ca="1" si="12"/>
        <v>16.5</v>
      </c>
      <c r="M269" s="25">
        <v>16.5</v>
      </c>
      <c r="N269" s="35">
        <f t="shared" ca="1" si="10"/>
        <v>0</v>
      </c>
      <c r="O269" s="26" t="s">
        <v>117</v>
      </c>
      <c r="P269" s="1"/>
      <c r="Q269" s="5"/>
      <c r="R269" s="41">
        <v>57579</v>
      </c>
      <c r="S269" s="41">
        <v>2</v>
      </c>
      <c r="T269" s="39" t="s">
        <v>388</v>
      </c>
      <c r="U269" s="40">
        <v>30.18</v>
      </c>
      <c r="V269" s="40">
        <v>30.18</v>
      </c>
      <c r="W269" s="40">
        <v>0</v>
      </c>
      <c r="X269" s="44"/>
      <c r="Y269" s="44"/>
      <c r="Z269" s="45"/>
      <c r="AA269" s="44"/>
      <c r="AB269" s="44"/>
      <c r="AC269" s="53" t="s">
        <v>117</v>
      </c>
      <c r="AD269" s="1"/>
    </row>
    <row r="270" spans="6:30" x14ac:dyDescent="0.2">
      <c r="F270" s="1"/>
      <c r="G270" s="5"/>
      <c r="H270" s="24" t="s">
        <v>63</v>
      </c>
      <c r="I270" s="24" t="s">
        <v>17</v>
      </c>
      <c r="J270" s="23">
        <v>0.2</v>
      </c>
      <c r="K270" s="25">
        <v>630.01</v>
      </c>
      <c r="L270" s="25">
        <f t="shared" ca="1" si="12"/>
        <v>126</v>
      </c>
      <c r="M270" s="25">
        <v>126</v>
      </c>
      <c r="N270" s="35">
        <f t="shared" ca="1" si="10"/>
        <v>0</v>
      </c>
      <c r="O270" s="26" t="s">
        <v>117</v>
      </c>
      <c r="P270" s="1"/>
      <c r="Q270" s="5"/>
      <c r="R270" s="46" t="s">
        <v>411</v>
      </c>
      <c r="S270" s="46" t="s">
        <v>17</v>
      </c>
      <c r="T270" s="46" t="s">
        <v>388</v>
      </c>
      <c r="U270" s="42">
        <f ca="1">SUM(U266:U269)</f>
        <v>128.83000000000001</v>
      </c>
      <c r="V270" s="42">
        <f ca="1">SUM(V266:V269)</f>
        <v>128.83000000000001</v>
      </c>
      <c r="W270" s="47">
        <f ca="1">SUM(W266:W269)</f>
        <v>0</v>
      </c>
      <c r="X270" s="42">
        <v>1</v>
      </c>
      <c r="Y270" s="42">
        <f ca="1">W270-X270</f>
        <v>0</v>
      </c>
      <c r="Z270" s="46" t="s">
        <v>439</v>
      </c>
      <c r="AA270" s="42">
        <f ca="1">IF(Z270=$D$15,0,U270)</f>
        <v>128.83000000000001</v>
      </c>
      <c r="AB270" s="42">
        <f ca="1">IF(T270="GBP",0,U270)</f>
        <v>0</v>
      </c>
      <c r="AC270" s="54" t="s">
        <v>119</v>
      </c>
      <c r="AD270" s="1"/>
    </row>
    <row r="271" spans="6:30" x14ac:dyDescent="0.2">
      <c r="F271" s="1"/>
      <c r="G271" s="5"/>
      <c r="H271" s="24" t="s">
        <v>64</v>
      </c>
      <c r="I271" s="24" t="s">
        <v>17</v>
      </c>
      <c r="J271" s="23">
        <v>0.2</v>
      </c>
      <c r="K271" s="25">
        <v>3900</v>
      </c>
      <c r="L271" s="25">
        <f t="shared" ca="1" si="12"/>
        <v>780</v>
      </c>
      <c r="M271" s="25">
        <v>780</v>
      </c>
      <c r="N271" s="35">
        <f t="shared" ca="1" si="10"/>
        <v>0</v>
      </c>
      <c r="O271" s="26" t="s">
        <v>117</v>
      </c>
      <c r="P271" s="1"/>
      <c r="Q271" s="5"/>
      <c r="R271" s="41">
        <v>57249</v>
      </c>
      <c r="S271" s="41">
        <v>3</v>
      </c>
      <c r="T271" s="39" t="s">
        <v>388</v>
      </c>
      <c r="U271" s="40">
        <v>56069.4</v>
      </c>
      <c r="V271" s="40">
        <v>56069.4</v>
      </c>
      <c r="W271" s="40">
        <v>0</v>
      </c>
      <c r="X271" s="44"/>
      <c r="Y271" s="44"/>
      <c r="Z271" s="45"/>
      <c r="AA271" s="44"/>
      <c r="AB271" s="44"/>
      <c r="AC271" s="53" t="s">
        <v>117</v>
      </c>
      <c r="AD271" s="1"/>
    </row>
    <row r="272" spans="6:30" x14ac:dyDescent="0.2">
      <c r="F272" s="1"/>
      <c r="G272" s="5"/>
      <c r="H272" s="24" t="s">
        <v>65</v>
      </c>
      <c r="I272" s="24" t="s">
        <v>17</v>
      </c>
      <c r="J272" s="23">
        <v>0.2</v>
      </c>
      <c r="K272" s="25">
        <v>630.01</v>
      </c>
      <c r="L272" s="25">
        <f t="shared" ca="1" si="12"/>
        <v>126</v>
      </c>
      <c r="M272" s="25">
        <v>126</v>
      </c>
      <c r="N272" s="35">
        <f t="shared" ca="1" si="10"/>
        <v>0</v>
      </c>
      <c r="O272" s="26" t="s">
        <v>117</v>
      </c>
      <c r="P272" s="1"/>
      <c r="Q272" s="5"/>
      <c r="R272" s="46" t="s">
        <v>412</v>
      </c>
      <c r="S272" s="46" t="s">
        <v>19</v>
      </c>
      <c r="T272" s="46" t="s">
        <v>388</v>
      </c>
      <c r="U272" s="42">
        <f ca="1">SUM(U271:U271)</f>
        <v>56069.4</v>
      </c>
      <c r="V272" s="42">
        <f ca="1">SUM(V271:V271)</f>
        <v>56069.4</v>
      </c>
      <c r="W272" s="47">
        <f ca="1">SUM(W271:W271)</f>
        <v>0</v>
      </c>
      <c r="X272" s="42">
        <v>1</v>
      </c>
      <c r="Y272" s="42">
        <f ca="1">W272-X272</f>
        <v>0</v>
      </c>
      <c r="Z272" s="46" t="s">
        <v>434</v>
      </c>
      <c r="AA272" s="42">
        <f ca="1">IF(Z272=$D$15,0,U272)</f>
        <v>56069.4</v>
      </c>
      <c r="AB272" s="42">
        <f ca="1">IF(T272="GBP",0,U272)</f>
        <v>0</v>
      </c>
      <c r="AC272" s="54" t="s">
        <v>119</v>
      </c>
      <c r="AD272" s="1"/>
    </row>
    <row r="273" spans="6:30" x14ac:dyDescent="0.2">
      <c r="F273" s="1"/>
      <c r="G273" s="5"/>
      <c r="H273" s="24" t="s">
        <v>70</v>
      </c>
      <c r="I273" s="24" t="s">
        <v>17</v>
      </c>
      <c r="J273" s="23">
        <v>0.2</v>
      </c>
      <c r="K273" s="25">
        <v>3787.5</v>
      </c>
      <c r="L273" s="25">
        <f t="shared" ca="1" si="12"/>
        <v>757.5</v>
      </c>
      <c r="M273" s="25">
        <v>757.5</v>
      </c>
      <c r="N273" s="35">
        <f t="shared" ca="1" si="10"/>
        <v>0</v>
      </c>
      <c r="O273" s="26" t="s">
        <v>117</v>
      </c>
      <c r="P273" s="1"/>
      <c r="Q273" s="5"/>
      <c r="R273" s="41">
        <v>57471</v>
      </c>
      <c r="S273" s="41">
        <v>11</v>
      </c>
      <c r="T273" s="39" t="s">
        <v>388</v>
      </c>
      <c r="U273" s="40">
        <v>6425.83</v>
      </c>
      <c r="V273" s="40">
        <v>6425.83</v>
      </c>
      <c r="W273" s="40">
        <v>0</v>
      </c>
      <c r="X273" s="44"/>
      <c r="Y273" s="44"/>
      <c r="Z273" s="45"/>
      <c r="AA273" s="44"/>
      <c r="AB273" s="44"/>
      <c r="AC273" s="53" t="s">
        <v>117</v>
      </c>
      <c r="AD273" s="1"/>
    </row>
    <row r="274" spans="6:30" x14ac:dyDescent="0.2">
      <c r="F274" s="1"/>
      <c r="G274" s="5"/>
      <c r="H274" s="24" t="s">
        <v>71</v>
      </c>
      <c r="I274" s="24" t="s">
        <v>17</v>
      </c>
      <c r="J274" s="23">
        <v>0.2</v>
      </c>
      <c r="K274" s="25">
        <v>206.69</v>
      </c>
      <c r="L274" s="25">
        <f t="shared" ca="1" si="12"/>
        <v>41.34</v>
      </c>
      <c r="M274" s="25">
        <v>41.34</v>
      </c>
      <c r="N274" s="35">
        <f t="shared" ca="1" si="10"/>
        <v>0</v>
      </c>
      <c r="O274" s="26" t="s">
        <v>117</v>
      </c>
      <c r="P274" s="1"/>
      <c r="Q274" s="5"/>
      <c r="R274" s="46" t="s">
        <v>413</v>
      </c>
      <c r="S274" s="46" t="s">
        <v>17</v>
      </c>
      <c r="T274" s="46" t="s">
        <v>388</v>
      </c>
      <c r="U274" s="42">
        <f ca="1">SUM(U273:U273)</f>
        <v>6425.83</v>
      </c>
      <c r="V274" s="42">
        <f ca="1">SUM(V273:V273)</f>
        <v>6425.83</v>
      </c>
      <c r="W274" s="47">
        <f ca="1">SUM(W273:W273)</f>
        <v>0</v>
      </c>
      <c r="X274" s="42">
        <v>1</v>
      </c>
      <c r="Y274" s="42">
        <f ca="1">W274-X274</f>
        <v>0</v>
      </c>
      <c r="Z274" s="46" t="s">
        <v>436</v>
      </c>
      <c r="AA274" s="42">
        <f ca="1">IF(Z274=$D$15,0,U274)</f>
        <v>6425.83</v>
      </c>
      <c r="AB274" s="42">
        <f ca="1">IF(T274="GBP",0,U274)</f>
        <v>0</v>
      </c>
      <c r="AC274" s="54" t="s">
        <v>119</v>
      </c>
      <c r="AD274" s="1"/>
    </row>
    <row r="275" spans="6:30" x14ac:dyDescent="0.2">
      <c r="F275" s="1"/>
      <c r="G275" s="5"/>
      <c r="H275" s="24" t="s">
        <v>72</v>
      </c>
      <c r="I275" s="24" t="s">
        <v>17</v>
      </c>
      <c r="J275" s="23">
        <v>0.2</v>
      </c>
      <c r="K275" s="25">
        <v>206.69</v>
      </c>
      <c r="L275" s="25">
        <f t="shared" ca="1" si="12"/>
        <v>41.34</v>
      </c>
      <c r="M275" s="25">
        <v>41.34</v>
      </c>
      <c r="N275" s="35">
        <f t="shared" ca="1" si="10"/>
        <v>0</v>
      </c>
      <c r="O275" s="26" t="s">
        <v>117</v>
      </c>
      <c r="P275" s="1"/>
      <c r="Q275" s="5"/>
      <c r="R275" s="41">
        <v>57346</v>
      </c>
      <c r="S275" s="41">
        <v>2</v>
      </c>
      <c r="T275" s="39" t="s">
        <v>388</v>
      </c>
      <c r="U275" s="40">
        <v>-52061.11</v>
      </c>
      <c r="V275" s="40">
        <v>-52061.11</v>
      </c>
      <c r="W275" s="40">
        <v>0</v>
      </c>
      <c r="X275" s="44"/>
      <c r="Y275" s="44"/>
      <c r="Z275" s="45"/>
      <c r="AA275" s="44"/>
      <c r="AB275" s="44"/>
      <c r="AC275" s="53" t="s">
        <v>117</v>
      </c>
      <c r="AD275" s="1"/>
    </row>
    <row r="276" spans="6:30" x14ac:dyDescent="0.2">
      <c r="F276" s="1"/>
      <c r="G276" s="5"/>
      <c r="H276" s="24" t="s">
        <v>74</v>
      </c>
      <c r="I276" s="24" t="s">
        <v>17</v>
      </c>
      <c r="J276" s="23">
        <v>0.2</v>
      </c>
      <c r="K276" s="25">
        <v>215.15</v>
      </c>
      <c r="L276" s="25">
        <f t="shared" ca="1" si="12"/>
        <v>43.03</v>
      </c>
      <c r="M276" s="25">
        <v>43.03</v>
      </c>
      <c r="N276" s="35">
        <f t="shared" ref="N276:N339" ca="1" si="13">IF(AND(M276&gt;L276-0.1,M276&lt;L276+0.1),0,1)</f>
        <v>0</v>
      </c>
      <c r="O276" s="26" t="s">
        <v>117</v>
      </c>
      <c r="P276" s="1"/>
      <c r="Q276" s="5"/>
      <c r="R276" s="46" t="s">
        <v>413</v>
      </c>
      <c r="S276" s="46" t="s">
        <v>19</v>
      </c>
      <c r="T276" s="46" t="s">
        <v>388</v>
      </c>
      <c r="U276" s="42">
        <f ca="1">SUM(U275:U275)</f>
        <v>-52061.11</v>
      </c>
      <c r="V276" s="42">
        <f ca="1">SUM(V275:V275)</f>
        <v>-52061.11</v>
      </c>
      <c r="W276" s="47">
        <f ca="1">SUM(W275:W275)</f>
        <v>0</v>
      </c>
      <c r="X276" s="42">
        <v>1</v>
      </c>
      <c r="Y276" s="42">
        <f ca="1">W276-X276</f>
        <v>0</v>
      </c>
      <c r="Z276" s="46" t="s">
        <v>436</v>
      </c>
      <c r="AA276" s="42">
        <f ca="1">IF(Z276=$D$15,0,U276)</f>
        <v>-52061.11</v>
      </c>
      <c r="AB276" s="42">
        <f ca="1">IF(T276="GBP",0,U276)</f>
        <v>0</v>
      </c>
      <c r="AC276" s="54" t="s">
        <v>119</v>
      </c>
      <c r="AD276" s="1"/>
    </row>
    <row r="277" spans="6:30" x14ac:dyDescent="0.2">
      <c r="F277" s="1"/>
      <c r="G277" s="5"/>
      <c r="H277" s="24" t="s">
        <v>75</v>
      </c>
      <c r="I277" s="24" t="s">
        <v>17</v>
      </c>
      <c r="J277" s="23">
        <v>0.2</v>
      </c>
      <c r="K277" s="25">
        <v>59.1</v>
      </c>
      <c r="L277" s="25">
        <f t="shared" ca="1" si="12"/>
        <v>11.82</v>
      </c>
      <c r="M277" s="25">
        <v>11.82</v>
      </c>
      <c r="N277" s="35">
        <f t="shared" ca="1" si="13"/>
        <v>0</v>
      </c>
      <c r="O277" s="26" t="s">
        <v>117</v>
      </c>
      <c r="P277" s="1"/>
      <c r="Q277" s="5"/>
      <c r="R277" s="41">
        <v>57347</v>
      </c>
      <c r="S277" s="41">
        <v>2</v>
      </c>
      <c r="T277" s="39" t="s">
        <v>388</v>
      </c>
      <c r="U277" s="40">
        <v>-4008.29</v>
      </c>
      <c r="V277" s="40">
        <v>-4008.29</v>
      </c>
      <c r="W277" s="40">
        <v>0</v>
      </c>
      <c r="X277" s="44"/>
      <c r="Y277" s="44"/>
      <c r="Z277" s="45"/>
      <c r="AA277" s="44"/>
      <c r="AB277" s="44"/>
      <c r="AC277" s="53" t="s">
        <v>117</v>
      </c>
      <c r="AD277" s="1"/>
    </row>
    <row r="278" spans="6:30" x14ac:dyDescent="0.2">
      <c r="F278" s="1"/>
      <c r="G278" s="5"/>
      <c r="H278" s="24" t="s">
        <v>77</v>
      </c>
      <c r="I278" s="24" t="s">
        <v>17</v>
      </c>
      <c r="J278" s="23">
        <v>0.2</v>
      </c>
      <c r="K278" s="25">
        <v>622.69000000000005</v>
      </c>
      <c r="L278" s="25">
        <f t="shared" ca="1" si="12"/>
        <v>124.54</v>
      </c>
      <c r="M278" s="25">
        <v>124.53</v>
      </c>
      <c r="N278" s="35">
        <f t="shared" ca="1" si="13"/>
        <v>0</v>
      </c>
      <c r="O278" s="26" t="s">
        <v>117</v>
      </c>
      <c r="P278" s="1"/>
      <c r="Q278" s="5"/>
      <c r="R278" s="46" t="s">
        <v>414</v>
      </c>
      <c r="S278" s="46" t="s">
        <v>19</v>
      </c>
      <c r="T278" s="46" t="s">
        <v>388</v>
      </c>
      <c r="U278" s="42">
        <f ca="1">SUM(U277:U277)</f>
        <v>-4008.29</v>
      </c>
      <c r="V278" s="42">
        <f ca="1">SUM(V277:V277)</f>
        <v>-4008.29</v>
      </c>
      <c r="W278" s="47">
        <f ca="1">SUM(W277:W277)</f>
        <v>0</v>
      </c>
      <c r="X278" s="42">
        <v>1</v>
      </c>
      <c r="Y278" s="42">
        <f ca="1">W278-X278</f>
        <v>0</v>
      </c>
      <c r="Z278" s="46" t="s">
        <v>437</v>
      </c>
      <c r="AA278" s="42">
        <f ca="1">IF(Z278=$D$15,0,U278)</f>
        <v>-4008.29</v>
      </c>
      <c r="AB278" s="42">
        <f ca="1">IF(T278="GBP",0,U278)</f>
        <v>0</v>
      </c>
      <c r="AC278" s="54" t="s">
        <v>119</v>
      </c>
      <c r="AD278" s="1"/>
    </row>
    <row r="279" spans="6:30" ht="15" thickBot="1" x14ac:dyDescent="0.25">
      <c r="F279" s="1"/>
      <c r="G279" s="5"/>
      <c r="H279" s="24" t="s">
        <v>78</v>
      </c>
      <c r="I279" s="24" t="s">
        <v>17</v>
      </c>
      <c r="J279" s="23">
        <v>0.2</v>
      </c>
      <c r="K279" s="25">
        <v>254.67</v>
      </c>
      <c r="L279" s="25">
        <f t="shared" ca="1" si="12"/>
        <v>50.93</v>
      </c>
      <c r="M279" s="25">
        <v>50.93</v>
      </c>
      <c r="N279" s="35">
        <f t="shared" ca="1" si="13"/>
        <v>0</v>
      </c>
      <c r="O279" s="26" t="s">
        <v>117</v>
      </c>
      <c r="P279" s="1"/>
      <c r="Q279" s="16"/>
      <c r="R279" s="29" t="s">
        <v>122</v>
      </c>
      <c r="S279" s="29"/>
      <c r="T279" s="29"/>
      <c r="U279" s="29"/>
      <c r="V279" s="29"/>
      <c r="W279" s="29"/>
      <c r="X279" s="29"/>
      <c r="Y279" s="29"/>
      <c r="Z279" s="29"/>
      <c r="AA279" s="48"/>
      <c r="AB279" s="48"/>
      <c r="AC279" s="55" t="s">
        <v>123</v>
      </c>
      <c r="AD279" s="1"/>
    </row>
    <row r="280" spans="6:30" x14ac:dyDescent="0.2">
      <c r="F280" s="1"/>
      <c r="G280" s="5"/>
      <c r="H280" s="24" t="s">
        <v>79</v>
      </c>
      <c r="I280" s="24" t="s">
        <v>17</v>
      </c>
      <c r="J280" s="23">
        <v>0.2</v>
      </c>
      <c r="K280" s="25">
        <v>55.46</v>
      </c>
      <c r="L280" s="25">
        <f t="shared" ca="1" si="12"/>
        <v>11.09</v>
      </c>
      <c r="M280" s="25">
        <v>11.09</v>
      </c>
      <c r="N280" s="35">
        <f t="shared" ca="1" si="13"/>
        <v>0</v>
      </c>
      <c r="O280" s="26" t="s">
        <v>117</v>
      </c>
      <c r="P280" s="1"/>
      <c r="Q280" s="1"/>
    </row>
    <row r="281" spans="6:30" x14ac:dyDescent="0.2">
      <c r="F281" s="1"/>
      <c r="G281" s="5"/>
      <c r="H281" s="24" t="s">
        <v>80</v>
      </c>
      <c r="I281" s="24" t="s">
        <v>17</v>
      </c>
      <c r="J281" s="23">
        <v>0.2</v>
      </c>
      <c r="K281" s="25">
        <v>26.09</v>
      </c>
      <c r="L281" s="25">
        <f t="shared" ref="L281:L306" ca="1" si="14">ROUND(J281*K281,2)</f>
        <v>5.22</v>
      </c>
      <c r="M281" s="25">
        <v>5.22</v>
      </c>
      <c r="N281" s="35">
        <f t="shared" ca="1" si="13"/>
        <v>0</v>
      </c>
      <c r="O281" s="26" t="s">
        <v>117</v>
      </c>
      <c r="P281" s="1"/>
      <c r="Q281" s="1"/>
    </row>
    <row r="282" spans="6:30" x14ac:dyDescent="0.2">
      <c r="F282" s="1"/>
      <c r="G282" s="5"/>
      <c r="H282" s="24" t="s">
        <v>81</v>
      </c>
      <c r="I282" s="24" t="s">
        <v>17</v>
      </c>
      <c r="J282" s="23">
        <v>0.2</v>
      </c>
      <c r="K282" s="25">
        <v>1096.8</v>
      </c>
      <c r="L282" s="25">
        <f t="shared" ca="1" si="14"/>
        <v>219.36</v>
      </c>
      <c r="M282" s="25">
        <v>219.36</v>
      </c>
      <c r="N282" s="35">
        <f t="shared" ca="1" si="13"/>
        <v>0</v>
      </c>
      <c r="O282" s="26" t="s">
        <v>117</v>
      </c>
      <c r="P282" s="1"/>
      <c r="Q282" s="1"/>
    </row>
    <row r="283" spans="6:30" x14ac:dyDescent="0.2">
      <c r="F283" s="1"/>
      <c r="G283" s="5"/>
      <c r="H283" s="24" t="s">
        <v>82</v>
      </c>
      <c r="I283" s="24" t="s">
        <v>17</v>
      </c>
      <c r="J283" s="23">
        <v>0.2</v>
      </c>
      <c r="K283" s="25">
        <v>3965</v>
      </c>
      <c r="L283" s="25">
        <f t="shared" ca="1" si="14"/>
        <v>793</v>
      </c>
      <c r="M283" s="25">
        <v>793</v>
      </c>
      <c r="N283" s="35">
        <f t="shared" ca="1" si="13"/>
        <v>0</v>
      </c>
      <c r="O283" s="26" t="s">
        <v>117</v>
      </c>
      <c r="P283" s="1"/>
      <c r="Q283" s="1"/>
    </row>
    <row r="284" spans="6:30" x14ac:dyDescent="0.2">
      <c r="F284" s="1"/>
      <c r="G284" s="5"/>
      <c r="H284" s="24" t="s">
        <v>83</v>
      </c>
      <c r="I284" s="24" t="s">
        <v>17</v>
      </c>
      <c r="J284" s="23">
        <v>0.2</v>
      </c>
      <c r="K284" s="25">
        <v>48</v>
      </c>
      <c r="L284" s="25">
        <f t="shared" ca="1" si="14"/>
        <v>9.6</v>
      </c>
      <c r="M284" s="25">
        <v>9.6</v>
      </c>
      <c r="N284" s="35">
        <f t="shared" ca="1" si="13"/>
        <v>0</v>
      </c>
      <c r="O284" s="26" t="s">
        <v>117</v>
      </c>
      <c r="P284" s="1"/>
      <c r="Q284" s="1"/>
    </row>
    <row r="285" spans="6:30" x14ac:dyDescent="0.2">
      <c r="F285" s="1"/>
      <c r="G285" s="5"/>
      <c r="H285" s="24" t="s">
        <v>84</v>
      </c>
      <c r="I285" s="24" t="s">
        <v>17</v>
      </c>
      <c r="J285" s="23">
        <v>0.2</v>
      </c>
      <c r="K285" s="25">
        <v>36.299999999999997</v>
      </c>
      <c r="L285" s="25">
        <f t="shared" ca="1" si="14"/>
        <v>7.26</v>
      </c>
      <c r="M285" s="25">
        <v>7.26</v>
      </c>
      <c r="N285" s="35">
        <f t="shared" ca="1" si="13"/>
        <v>0</v>
      </c>
      <c r="O285" s="26" t="s">
        <v>117</v>
      </c>
      <c r="P285" s="1"/>
      <c r="Q285" s="1"/>
    </row>
    <row r="286" spans="6:30" x14ac:dyDescent="0.2">
      <c r="F286" s="1"/>
      <c r="G286" s="5"/>
      <c r="H286" s="24" t="s">
        <v>85</v>
      </c>
      <c r="I286" s="24" t="s">
        <v>17</v>
      </c>
      <c r="J286" s="23">
        <v>0.2</v>
      </c>
      <c r="K286" s="25">
        <v>11855</v>
      </c>
      <c r="L286" s="25">
        <f t="shared" ca="1" si="14"/>
        <v>2371</v>
      </c>
      <c r="M286" s="25">
        <v>2371</v>
      </c>
      <c r="N286" s="35">
        <f t="shared" ca="1" si="13"/>
        <v>0</v>
      </c>
      <c r="O286" s="26" t="s">
        <v>117</v>
      </c>
      <c r="P286" s="1"/>
      <c r="Q286" s="1"/>
    </row>
    <row r="287" spans="6:30" x14ac:dyDescent="0.2">
      <c r="F287" s="1"/>
      <c r="G287" s="5"/>
      <c r="H287" s="24" t="s">
        <v>86</v>
      </c>
      <c r="I287" s="24" t="s">
        <v>17</v>
      </c>
      <c r="J287" s="23">
        <v>0.2</v>
      </c>
      <c r="K287" s="25">
        <v>25000</v>
      </c>
      <c r="L287" s="25">
        <f t="shared" ca="1" si="14"/>
        <v>5000</v>
      </c>
      <c r="M287" s="25">
        <v>5000</v>
      </c>
      <c r="N287" s="35">
        <f t="shared" ca="1" si="13"/>
        <v>0</v>
      </c>
      <c r="O287" s="26" t="s">
        <v>117</v>
      </c>
      <c r="P287" s="1"/>
      <c r="Q287" s="1"/>
    </row>
    <row r="288" spans="6:30" x14ac:dyDescent="0.2">
      <c r="F288" s="1"/>
      <c r="G288" s="5"/>
      <c r="H288" s="24" t="s">
        <v>87</v>
      </c>
      <c r="I288" s="24" t="s">
        <v>17</v>
      </c>
      <c r="J288" s="23">
        <v>0.2</v>
      </c>
      <c r="K288" s="25">
        <v>109.9</v>
      </c>
      <c r="L288" s="25">
        <f t="shared" ca="1" si="14"/>
        <v>21.98</v>
      </c>
      <c r="M288" s="25">
        <v>21.98</v>
      </c>
      <c r="N288" s="35">
        <f t="shared" ca="1" si="13"/>
        <v>0</v>
      </c>
      <c r="O288" s="26" t="s">
        <v>117</v>
      </c>
      <c r="P288" s="1"/>
      <c r="Q288" s="1"/>
    </row>
    <row r="289" spans="6:17" x14ac:dyDescent="0.2">
      <c r="F289" s="1"/>
      <c r="G289" s="5"/>
      <c r="H289" s="24" t="s">
        <v>91</v>
      </c>
      <c r="I289" s="24" t="s">
        <v>17</v>
      </c>
      <c r="J289" s="23">
        <v>0.2</v>
      </c>
      <c r="K289" s="25">
        <v>153.5</v>
      </c>
      <c r="L289" s="25">
        <f t="shared" ca="1" si="14"/>
        <v>30.7</v>
      </c>
      <c r="M289" s="25">
        <v>30.7</v>
      </c>
      <c r="N289" s="35">
        <f t="shared" ca="1" si="13"/>
        <v>0</v>
      </c>
      <c r="O289" s="26" t="s">
        <v>117</v>
      </c>
      <c r="P289" s="1"/>
      <c r="Q289" s="1"/>
    </row>
    <row r="290" spans="6:17" x14ac:dyDescent="0.2">
      <c r="F290" s="1"/>
      <c r="G290" s="5"/>
      <c r="H290" s="24" t="s">
        <v>94</v>
      </c>
      <c r="I290" s="24" t="s">
        <v>17</v>
      </c>
      <c r="J290" s="23">
        <v>0.2</v>
      </c>
      <c r="K290" s="25">
        <v>898.52</v>
      </c>
      <c r="L290" s="25">
        <f t="shared" ca="1" si="14"/>
        <v>179.7</v>
      </c>
      <c r="M290" s="25">
        <v>179.7</v>
      </c>
      <c r="N290" s="35">
        <f t="shared" ca="1" si="13"/>
        <v>0</v>
      </c>
      <c r="O290" s="26" t="s">
        <v>117</v>
      </c>
      <c r="P290" s="1"/>
      <c r="Q290" s="1"/>
    </row>
    <row r="291" spans="6:17" x14ac:dyDescent="0.2">
      <c r="F291" s="1"/>
      <c r="G291" s="5"/>
      <c r="H291" s="24" t="s">
        <v>95</v>
      </c>
      <c r="I291" s="24" t="s">
        <v>17</v>
      </c>
      <c r="J291" s="23">
        <v>0.2</v>
      </c>
      <c r="K291" s="25">
        <v>180.83</v>
      </c>
      <c r="L291" s="25">
        <f t="shared" ca="1" si="14"/>
        <v>36.17</v>
      </c>
      <c r="M291" s="25">
        <v>36.17</v>
      </c>
      <c r="N291" s="35">
        <f t="shared" ca="1" si="13"/>
        <v>0</v>
      </c>
      <c r="O291" s="26" t="s">
        <v>117</v>
      </c>
      <c r="P291" s="1"/>
      <c r="Q291" s="1"/>
    </row>
    <row r="292" spans="6:17" x14ac:dyDescent="0.2">
      <c r="F292" s="1"/>
      <c r="G292" s="5"/>
      <c r="H292" s="24" t="s">
        <v>96</v>
      </c>
      <c r="I292" s="24" t="s">
        <v>17</v>
      </c>
      <c r="J292" s="23">
        <v>0.2</v>
      </c>
      <c r="K292" s="25">
        <v>40</v>
      </c>
      <c r="L292" s="25">
        <f t="shared" ca="1" si="14"/>
        <v>8</v>
      </c>
      <c r="M292" s="25">
        <v>8</v>
      </c>
      <c r="N292" s="35">
        <f t="shared" ca="1" si="13"/>
        <v>0</v>
      </c>
      <c r="O292" s="26" t="s">
        <v>117</v>
      </c>
      <c r="P292" s="1"/>
      <c r="Q292" s="1"/>
    </row>
    <row r="293" spans="6:17" x14ac:dyDescent="0.2">
      <c r="F293" s="1"/>
      <c r="G293" s="5"/>
      <c r="H293" s="24" t="s">
        <v>97</v>
      </c>
      <c r="I293" s="24" t="s">
        <v>17</v>
      </c>
      <c r="J293" s="23">
        <v>0.2</v>
      </c>
      <c r="K293" s="25">
        <v>852.75</v>
      </c>
      <c r="L293" s="25">
        <f t="shared" ca="1" si="14"/>
        <v>170.55</v>
      </c>
      <c r="M293" s="25">
        <v>170.55</v>
      </c>
      <c r="N293" s="35">
        <f t="shared" ca="1" si="13"/>
        <v>0</v>
      </c>
      <c r="O293" s="26" t="s">
        <v>117</v>
      </c>
      <c r="P293" s="1"/>
      <c r="Q293" s="1"/>
    </row>
    <row r="294" spans="6:17" x14ac:dyDescent="0.2">
      <c r="F294" s="1"/>
      <c r="G294" s="5"/>
      <c r="H294" s="24" t="s">
        <v>98</v>
      </c>
      <c r="I294" s="24" t="s">
        <v>17</v>
      </c>
      <c r="J294" s="23">
        <v>0.2</v>
      </c>
      <c r="K294" s="25">
        <v>50</v>
      </c>
      <c r="L294" s="25">
        <f t="shared" ca="1" si="14"/>
        <v>10</v>
      </c>
      <c r="M294" s="25">
        <v>10</v>
      </c>
      <c r="N294" s="35">
        <f t="shared" ca="1" si="13"/>
        <v>0</v>
      </c>
      <c r="O294" s="26" t="s">
        <v>117</v>
      </c>
      <c r="P294" s="1"/>
      <c r="Q294" s="1"/>
    </row>
    <row r="295" spans="6:17" x14ac:dyDescent="0.2">
      <c r="F295" s="1"/>
      <c r="G295" s="5"/>
      <c r="H295" s="24" t="s">
        <v>294</v>
      </c>
      <c r="I295" s="24" t="s">
        <v>17</v>
      </c>
      <c r="J295" s="23">
        <v>0.2</v>
      </c>
      <c r="K295" s="25">
        <v>-7.5</v>
      </c>
      <c r="L295" s="25">
        <f t="shared" ca="1" si="14"/>
        <v>-1.5</v>
      </c>
      <c r="M295" s="25">
        <v>-1.5</v>
      </c>
      <c r="N295" s="35">
        <f t="shared" ca="1" si="13"/>
        <v>0</v>
      </c>
      <c r="O295" s="26" t="s">
        <v>117</v>
      </c>
      <c r="P295" s="1"/>
      <c r="Q295" s="1"/>
    </row>
    <row r="296" spans="6:17" x14ac:dyDescent="0.2">
      <c r="F296" s="1"/>
      <c r="G296" s="5"/>
      <c r="H296" s="24" t="s">
        <v>295</v>
      </c>
      <c r="I296" s="24" t="s">
        <v>17</v>
      </c>
      <c r="J296" s="23">
        <v>0.2</v>
      </c>
      <c r="K296" s="25">
        <v>-7.5</v>
      </c>
      <c r="L296" s="25">
        <f t="shared" ca="1" si="14"/>
        <v>-1.5</v>
      </c>
      <c r="M296" s="25">
        <v>-1.5</v>
      </c>
      <c r="N296" s="35">
        <f t="shared" ca="1" si="13"/>
        <v>0</v>
      </c>
      <c r="O296" s="26" t="s">
        <v>117</v>
      </c>
      <c r="P296" s="1"/>
      <c r="Q296" s="1"/>
    </row>
    <row r="297" spans="6:17" x14ac:dyDescent="0.2">
      <c r="F297" s="1"/>
      <c r="G297" s="5"/>
      <c r="H297" s="24" t="s">
        <v>100</v>
      </c>
      <c r="I297" s="24" t="s">
        <v>17</v>
      </c>
      <c r="J297" s="23">
        <v>0.2</v>
      </c>
      <c r="K297" s="25">
        <v>150.91</v>
      </c>
      <c r="L297" s="25">
        <f t="shared" ca="1" si="14"/>
        <v>30.18</v>
      </c>
      <c r="M297" s="25">
        <v>30.18</v>
      </c>
      <c r="N297" s="35">
        <f t="shared" ca="1" si="13"/>
        <v>0</v>
      </c>
      <c r="O297" s="26" t="s">
        <v>117</v>
      </c>
      <c r="P297" s="1"/>
      <c r="Q297" s="1"/>
    </row>
    <row r="298" spans="6:17" x14ac:dyDescent="0.2">
      <c r="F298" s="1"/>
      <c r="G298" s="5"/>
      <c r="H298" s="24" t="s">
        <v>101</v>
      </c>
      <c r="I298" s="24" t="s">
        <v>17</v>
      </c>
      <c r="J298" s="23">
        <v>0.2</v>
      </c>
      <c r="K298" s="25">
        <v>5610</v>
      </c>
      <c r="L298" s="25">
        <f t="shared" ca="1" si="14"/>
        <v>1122</v>
      </c>
      <c r="M298" s="25">
        <v>1122</v>
      </c>
      <c r="N298" s="35">
        <f t="shared" ca="1" si="13"/>
        <v>0</v>
      </c>
      <c r="O298" s="26" t="s">
        <v>117</v>
      </c>
      <c r="P298" s="1"/>
      <c r="Q298" s="1"/>
    </row>
    <row r="299" spans="6:17" x14ac:dyDescent="0.2">
      <c r="F299" s="1"/>
      <c r="G299" s="5"/>
      <c r="H299" s="24" t="s">
        <v>106</v>
      </c>
      <c r="I299" s="24" t="s">
        <v>17</v>
      </c>
      <c r="J299" s="23">
        <v>0.2</v>
      </c>
      <c r="K299" s="25">
        <v>200</v>
      </c>
      <c r="L299" s="25">
        <f t="shared" ca="1" si="14"/>
        <v>40</v>
      </c>
      <c r="M299" s="25">
        <v>40</v>
      </c>
      <c r="N299" s="35">
        <f t="shared" ca="1" si="13"/>
        <v>0</v>
      </c>
      <c r="O299" s="26" t="s">
        <v>117</v>
      </c>
      <c r="P299" s="1"/>
      <c r="Q299" s="1"/>
    </row>
    <row r="300" spans="6:17" x14ac:dyDescent="0.2">
      <c r="F300" s="1"/>
      <c r="G300" s="5"/>
      <c r="H300" s="24" t="s">
        <v>107</v>
      </c>
      <c r="I300" s="24" t="s">
        <v>17</v>
      </c>
      <c r="J300" s="23">
        <v>0.2</v>
      </c>
      <c r="K300" s="25">
        <v>50</v>
      </c>
      <c r="L300" s="25">
        <f t="shared" ca="1" si="14"/>
        <v>10</v>
      </c>
      <c r="M300" s="25">
        <v>10</v>
      </c>
      <c r="N300" s="35">
        <f t="shared" ca="1" si="13"/>
        <v>0</v>
      </c>
      <c r="O300" s="26" t="s">
        <v>117</v>
      </c>
      <c r="P300" s="1"/>
      <c r="Q300" s="1"/>
    </row>
    <row r="301" spans="6:17" x14ac:dyDescent="0.2">
      <c r="F301" s="1"/>
      <c r="G301" s="5"/>
      <c r="H301" s="24" t="s">
        <v>108</v>
      </c>
      <c r="I301" s="24" t="s">
        <v>17</v>
      </c>
      <c r="J301" s="23">
        <v>0.2</v>
      </c>
      <c r="K301" s="25">
        <v>150.5</v>
      </c>
      <c r="L301" s="25">
        <f t="shared" ca="1" si="14"/>
        <v>30.1</v>
      </c>
      <c r="M301" s="25">
        <v>30.1</v>
      </c>
      <c r="N301" s="35">
        <f t="shared" ca="1" si="13"/>
        <v>0</v>
      </c>
      <c r="O301" s="26" t="s">
        <v>117</v>
      </c>
      <c r="P301" s="1"/>
      <c r="Q301" s="1"/>
    </row>
    <row r="302" spans="6:17" x14ac:dyDescent="0.2">
      <c r="F302" s="1"/>
      <c r="G302" s="5"/>
      <c r="H302" s="24" t="s">
        <v>109</v>
      </c>
      <c r="I302" s="24" t="s">
        <v>17</v>
      </c>
      <c r="J302" s="23">
        <v>0.2</v>
      </c>
      <c r="K302" s="25">
        <v>126.12</v>
      </c>
      <c r="L302" s="25">
        <f t="shared" ca="1" si="14"/>
        <v>25.22</v>
      </c>
      <c r="M302" s="25">
        <v>25.22</v>
      </c>
      <c r="N302" s="35">
        <f t="shared" ca="1" si="13"/>
        <v>0</v>
      </c>
      <c r="O302" s="26" t="s">
        <v>117</v>
      </c>
      <c r="P302" s="1"/>
      <c r="Q302" s="1"/>
    </row>
    <row r="303" spans="6:17" x14ac:dyDescent="0.2">
      <c r="F303" s="1"/>
      <c r="G303" s="5"/>
      <c r="H303" s="24" t="s">
        <v>110</v>
      </c>
      <c r="I303" s="24" t="s">
        <v>17</v>
      </c>
      <c r="J303" s="23">
        <v>0.2</v>
      </c>
      <c r="K303" s="25">
        <v>150.52000000000001</v>
      </c>
      <c r="L303" s="25">
        <f t="shared" ca="1" si="14"/>
        <v>30.1</v>
      </c>
      <c r="M303" s="25">
        <v>30.1</v>
      </c>
      <c r="N303" s="35">
        <f t="shared" ca="1" si="13"/>
        <v>0</v>
      </c>
      <c r="O303" s="26" t="s">
        <v>117</v>
      </c>
      <c r="P303" s="1"/>
      <c r="Q303" s="1"/>
    </row>
    <row r="304" spans="6:17" x14ac:dyDescent="0.2">
      <c r="F304" s="1"/>
      <c r="G304" s="5"/>
      <c r="H304" s="24" t="s">
        <v>111</v>
      </c>
      <c r="I304" s="24" t="s">
        <v>17</v>
      </c>
      <c r="J304" s="23">
        <v>0.2</v>
      </c>
      <c r="K304" s="25">
        <v>2300</v>
      </c>
      <c r="L304" s="25">
        <f t="shared" ca="1" si="14"/>
        <v>460</v>
      </c>
      <c r="M304" s="25">
        <v>460</v>
      </c>
      <c r="N304" s="35">
        <f t="shared" ca="1" si="13"/>
        <v>0</v>
      </c>
      <c r="O304" s="26" t="s">
        <v>117</v>
      </c>
      <c r="P304" s="1"/>
      <c r="Q304" s="1"/>
    </row>
    <row r="305" spans="6:17" x14ac:dyDescent="0.2">
      <c r="F305" s="1"/>
      <c r="G305" s="5"/>
      <c r="H305" s="24" t="s">
        <v>113</v>
      </c>
      <c r="I305" s="24" t="s">
        <v>17</v>
      </c>
      <c r="J305" s="23">
        <v>0.2</v>
      </c>
      <c r="K305" s="25">
        <v>13675.64</v>
      </c>
      <c r="L305" s="25">
        <f t="shared" ca="1" si="14"/>
        <v>2735.13</v>
      </c>
      <c r="M305" s="25">
        <v>2735.13</v>
      </c>
      <c r="N305" s="35">
        <f t="shared" ca="1" si="13"/>
        <v>0</v>
      </c>
      <c r="O305" s="26" t="s">
        <v>117</v>
      </c>
      <c r="P305" s="1"/>
      <c r="Q305" s="1"/>
    </row>
    <row r="306" spans="6:17" x14ac:dyDescent="0.2">
      <c r="F306" s="1"/>
      <c r="G306" s="5"/>
      <c r="H306" s="24" t="s">
        <v>114</v>
      </c>
      <c r="I306" s="24" t="s">
        <v>17</v>
      </c>
      <c r="J306" s="23">
        <v>0.2</v>
      </c>
      <c r="K306" s="25">
        <v>13082.97</v>
      </c>
      <c r="L306" s="25">
        <f t="shared" ca="1" si="14"/>
        <v>2616.59</v>
      </c>
      <c r="M306" s="25">
        <v>2616.59</v>
      </c>
      <c r="N306" s="35">
        <f t="shared" ca="1" si="13"/>
        <v>0</v>
      </c>
      <c r="O306" s="26" t="s">
        <v>117</v>
      </c>
      <c r="P306" s="1"/>
      <c r="Q306" s="1"/>
    </row>
    <row r="307" spans="6:17" x14ac:dyDescent="0.2">
      <c r="F307" s="1"/>
      <c r="G307" s="5"/>
      <c r="H307" s="27" t="s">
        <v>120</v>
      </c>
      <c r="I307" s="27"/>
      <c r="J307" s="22"/>
      <c r="K307" s="28">
        <f ca="1">SUM(K121:K306)</f>
        <v>361041.05</v>
      </c>
      <c r="L307" s="28">
        <f ca="1">SUM(L121:L306)</f>
        <v>72208.209999999963</v>
      </c>
      <c r="M307" s="28">
        <f ca="1">SUM(M121:M306)</f>
        <v>78933.729999999967</v>
      </c>
      <c r="N307" s="35">
        <f t="shared" ca="1" si="13"/>
        <v>1</v>
      </c>
      <c r="O307" s="26" t="s">
        <v>119</v>
      </c>
      <c r="P307" s="1"/>
      <c r="Q307" s="1"/>
    </row>
    <row r="308" spans="6:17" x14ac:dyDescent="0.2">
      <c r="F308" s="1"/>
      <c r="G308" s="5"/>
      <c r="H308" s="24" t="s">
        <v>296</v>
      </c>
      <c r="I308" s="24" t="s">
        <v>19</v>
      </c>
      <c r="J308" s="23">
        <v>0</v>
      </c>
      <c r="K308" s="25"/>
      <c r="L308" s="25">
        <f ca="1">ROUND(J308*K308,2)</f>
        <v>0</v>
      </c>
      <c r="M308" s="25">
        <v>0</v>
      </c>
      <c r="N308" s="35">
        <f t="shared" ca="1" si="13"/>
        <v>0</v>
      </c>
      <c r="O308" s="26" t="s">
        <v>117</v>
      </c>
      <c r="P308" s="1"/>
      <c r="Q308" s="1"/>
    </row>
    <row r="309" spans="6:17" x14ac:dyDescent="0.2">
      <c r="F309" s="1"/>
      <c r="G309" s="5"/>
      <c r="H309" s="24" t="s">
        <v>43</v>
      </c>
      <c r="I309" s="24" t="s">
        <v>19</v>
      </c>
      <c r="J309" s="23">
        <v>0</v>
      </c>
      <c r="K309" s="25">
        <v>33480</v>
      </c>
      <c r="L309" s="25">
        <f ca="1">ROUND(J309*K309,2)</f>
        <v>0</v>
      </c>
      <c r="M309" s="25"/>
      <c r="N309" s="35">
        <f t="shared" ca="1" si="13"/>
        <v>0</v>
      </c>
      <c r="O309" s="26" t="s">
        <v>117</v>
      </c>
      <c r="P309" s="1"/>
      <c r="Q309" s="1"/>
    </row>
    <row r="310" spans="6:17" x14ac:dyDescent="0.2">
      <c r="F310" s="1"/>
      <c r="G310" s="5"/>
      <c r="H310" s="24" t="s">
        <v>45</v>
      </c>
      <c r="I310" s="24" t="s">
        <v>19</v>
      </c>
      <c r="J310" s="23">
        <v>0</v>
      </c>
      <c r="K310" s="25">
        <v>60.72</v>
      </c>
      <c r="L310" s="25">
        <f ca="1">ROUND(J310*K310,2)</f>
        <v>0</v>
      </c>
      <c r="M310" s="25"/>
      <c r="N310" s="35">
        <f t="shared" ca="1" si="13"/>
        <v>0</v>
      </c>
      <c r="O310" s="26" t="s">
        <v>117</v>
      </c>
      <c r="P310" s="1"/>
      <c r="Q310" s="1"/>
    </row>
    <row r="311" spans="6:17" x14ac:dyDescent="0.2">
      <c r="F311" s="1"/>
      <c r="G311" s="5"/>
      <c r="H311" s="24" t="s">
        <v>47</v>
      </c>
      <c r="I311" s="24" t="s">
        <v>19</v>
      </c>
      <c r="J311" s="23">
        <v>0</v>
      </c>
      <c r="K311" s="25">
        <v>19800</v>
      </c>
      <c r="L311" s="25">
        <f ca="1">ROUND(J311*K311,2)</f>
        <v>0</v>
      </c>
      <c r="M311" s="25"/>
      <c r="N311" s="35">
        <f t="shared" ca="1" si="13"/>
        <v>0</v>
      </c>
      <c r="O311" s="26" t="s">
        <v>117</v>
      </c>
      <c r="P311" s="1"/>
      <c r="Q311" s="1"/>
    </row>
    <row r="312" spans="6:17" x14ac:dyDescent="0.2">
      <c r="F312" s="1"/>
      <c r="G312" s="5"/>
      <c r="H312" s="24" t="s">
        <v>297</v>
      </c>
      <c r="I312" s="24" t="s">
        <v>19</v>
      </c>
      <c r="J312" s="23">
        <v>0</v>
      </c>
      <c r="K312" s="25">
        <v>120335.33</v>
      </c>
      <c r="L312" s="25">
        <f ca="1">ROUND(J312*K312,2)</f>
        <v>0</v>
      </c>
      <c r="M312" s="25"/>
      <c r="N312" s="35">
        <f t="shared" ca="1" si="13"/>
        <v>0</v>
      </c>
      <c r="O312" s="26" t="s">
        <v>117</v>
      </c>
      <c r="P312" s="1"/>
      <c r="Q312" s="1"/>
    </row>
    <row r="313" spans="6:17" x14ac:dyDescent="0.2">
      <c r="F313" s="1"/>
      <c r="G313" s="5"/>
      <c r="H313" s="27" t="s">
        <v>121</v>
      </c>
      <c r="I313" s="27"/>
      <c r="J313" s="22"/>
      <c r="K313" s="28">
        <f ca="1">SUM(K308:K312)</f>
        <v>173676.05</v>
      </c>
      <c r="L313" s="28">
        <f ca="1">SUM(L308:L312)</f>
        <v>0</v>
      </c>
      <c r="M313" s="28">
        <f ca="1">SUM(M308:M312)</f>
        <v>0</v>
      </c>
      <c r="N313" s="35">
        <f t="shared" ca="1" si="13"/>
        <v>0</v>
      </c>
      <c r="O313" s="26" t="s">
        <v>119</v>
      </c>
      <c r="P313" s="1"/>
      <c r="Q313" s="1"/>
    </row>
    <row r="314" spans="6:17" x14ac:dyDescent="0.2">
      <c r="F314" s="1"/>
      <c r="G314" s="5"/>
      <c r="H314" s="24" t="s">
        <v>298</v>
      </c>
      <c r="I314" s="24" t="s">
        <v>18</v>
      </c>
      <c r="J314" s="23">
        <v>0</v>
      </c>
      <c r="K314" s="25">
        <v>0</v>
      </c>
      <c r="L314" s="25">
        <f t="shared" ref="L314:L345" ca="1" si="15">ROUND(J314*K314,2)</f>
        <v>0</v>
      </c>
      <c r="M314" s="25"/>
      <c r="N314" s="35">
        <f t="shared" ca="1" si="13"/>
        <v>0</v>
      </c>
      <c r="O314" s="26" t="s">
        <v>117</v>
      </c>
      <c r="P314" s="1"/>
      <c r="Q314" s="1"/>
    </row>
    <row r="315" spans="6:17" x14ac:dyDescent="0.2">
      <c r="F315" s="1"/>
      <c r="G315" s="5"/>
      <c r="H315" s="24" t="s">
        <v>299</v>
      </c>
      <c r="I315" s="24" t="s">
        <v>18</v>
      </c>
      <c r="J315" s="23">
        <v>0</v>
      </c>
      <c r="K315" s="25">
        <v>-37719</v>
      </c>
      <c r="L315" s="25">
        <f t="shared" ca="1" si="15"/>
        <v>0</v>
      </c>
      <c r="M315" s="25"/>
      <c r="N315" s="35">
        <f t="shared" ca="1" si="13"/>
        <v>0</v>
      </c>
      <c r="O315" s="26" t="s">
        <v>117</v>
      </c>
      <c r="P315" s="1"/>
      <c r="Q315" s="1"/>
    </row>
    <row r="316" spans="6:17" x14ac:dyDescent="0.2">
      <c r="F316" s="1"/>
      <c r="G316" s="5"/>
      <c r="H316" s="24" t="s">
        <v>300</v>
      </c>
      <c r="I316" s="24" t="s">
        <v>18</v>
      </c>
      <c r="J316" s="23">
        <v>0</v>
      </c>
      <c r="K316" s="25">
        <v>-30917</v>
      </c>
      <c r="L316" s="25">
        <f t="shared" ca="1" si="15"/>
        <v>0</v>
      </c>
      <c r="M316" s="25"/>
      <c r="N316" s="35">
        <f t="shared" ca="1" si="13"/>
        <v>0</v>
      </c>
      <c r="O316" s="26" t="s">
        <v>117</v>
      </c>
      <c r="P316" s="1"/>
      <c r="Q316" s="1"/>
    </row>
    <row r="317" spans="6:17" x14ac:dyDescent="0.2">
      <c r="F317" s="1"/>
      <c r="G317" s="5"/>
      <c r="H317" s="24" t="s">
        <v>301</v>
      </c>
      <c r="I317" s="24" t="s">
        <v>18</v>
      </c>
      <c r="J317" s="23">
        <v>0</v>
      </c>
      <c r="K317" s="25">
        <v>-17314</v>
      </c>
      <c r="L317" s="25">
        <f t="shared" ca="1" si="15"/>
        <v>0</v>
      </c>
      <c r="M317" s="25"/>
      <c r="N317" s="35">
        <f t="shared" ca="1" si="13"/>
        <v>0</v>
      </c>
      <c r="O317" s="26" t="s">
        <v>117</v>
      </c>
      <c r="P317" s="1"/>
      <c r="Q317" s="1"/>
    </row>
    <row r="318" spans="6:17" x14ac:dyDescent="0.2">
      <c r="F318" s="1"/>
      <c r="G318" s="5"/>
      <c r="H318" s="24" t="s">
        <v>302</v>
      </c>
      <c r="I318" s="24" t="s">
        <v>18</v>
      </c>
      <c r="J318" s="23">
        <v>0</v>
      </c>
      <c r="K318" s="25">
        <v>-87130</v>
      </c>
      <c r="L318" s="25">
        <f t="shared" ca="1" si="15"/>
        <v>0</v>
      </c>
      <c r="M318" s="25"/>
      <c r="N318" s="35">
        <f t="shared" ca="1" si="13"/>
        <v>0</v>
      </c>
      <c r="O318" s="26" t="s">
        <v>117</v>
      </c>
      <c r="P318" s="1"/>
      <c r="Q318" s="1"/>
    </row>
    <row r="319" spans="6:17" x14ac:dyDescent="0.2">
      <c r="F319" s="1"/>
      <c r="G319" s="5"/>
      <c r="H319" s="24" t="s">
        <v>303</v>
      </c>
      <c r="I319" s="24" t="s">
        <v>18</v>
      </c>
      <c r="J319" s="23">
        <v>0</v>
      </c>
      <c r="K319" s="25">
        <v>-75512</v>
      </c>
      <c r="L319" s="25">
        <f t="shared" ca="1" si="15"/>
        <v>0</v>
      </c>
      <c r="M319" s="25"/>
      <c r="N319" s="35">
        <f t="shared" ca="1" si="13"/>
        <v>0</v>
      </c>
      <c r="O319" s="26" t="s">
        <v>117</v>
      </c>
      <c r="P319" s="1"/>
      <c r="Q319" s="1"/>
    </row>
    <row r="320" spans="6:17" x14ac:dyDescent="0.2">
      <c r="F320" s="1"/>
      <c r="G320" s="5"/>
      <c r="H320" s="24" t="s">
        <v>304</v>
      </c>
      <c r="I320" s="24" t="s">
        <v>18</v>
      </c>
      <c r="J320" s="23">
        <v>0</v>
      </c>
      <c r="K320" s="25">
        <v>0</v>
      </c>
      <c r="L320" s="25">
        <f t="shared" ca="1" si="15"/>
        <v>0</v>
      </c>
      <c r="M320" s="25"/>
      <c r="N320" s="35">
        <f t="shared" ca="1" si="13"/>
        <v>0</v>
      </c>
      <c r="O320" s="26" t="s">
        <v>117</v>
      </c>
      <c r="P320" s="1"/>
      <c r="Q320" s="1"/>
    </row>
    <row r="321" spans="6:17" x14ac:dyDescent="0.2">
      <c r="F321" s="1"/>
      <c r="G321" s="5"/>
      <c r="H321" s="24" t="s">
        <v>305</v>
      </c>
      <c r="I321" s="24" t="s">
        <v>18</v>
      </c>
      <c r="J321" s="23">
        <v>0</v>
      </c>
      <c r="K321" s="25">
        <v>-40660</v>
      </c>
      <c r="L321" s="25">
        <f t="shared" ca="1" si="15"/>
        <v>0</v>
      </c>
      <c r="M321" s="25"/>
      <c r="N321" s="35">
        <f t="shared" ca="1" si="13"/>
        <v>0</v>
      </c>
      <c r="O321" s="26" t="s">
        <v>117</v>
      </c>
      <c r="P321" s="1"/>
      <c r="Q321" s="1"/>
    </row>
    <row r="322" spans="6:17" x14ac:dyDescent="0.2">
      <c r="F322" s="1"/>
      <c r="G322" s="5"/>
      <c r="H322" s="24" t="s">
        <v>306</v>
      </c>
      <c r="I322" s="24" t="s">
        <v>18</v>
      </c>
      <c r="J322" s="23">
        <v>0</v>
      </c>
      <c r="K322" s="25">
        <v>-53483</v>
      </c>
      <c r="L322" s="25">
        <f t="shared" ca="1" si="15"/>
        <v>0</v>
      </c>
      <c r="M322" s="25"/>
      <c r="N322" s="35">
        <f t="shared" ca="1" si="13"/>
        <v>0</v>
      </c>
      <c r="O322" s="26" t="s">
        <v>117</v>
      </c>
      <c r="P322" s="1"/>
      <c r="Q322" s="1"/>
    </row>
    <row r="323" spans="6:17" x14ac:dyDescent="0.2">
      <c r="F323" s="1"/>
      <c r="G323" s="5"/>
      <c r="H323" s="24" t="s">
        <v>307</v>
      </c>
      <c r="I323" s="24" t="s">
        <v>18</v>
      </c>
      <c r="J323" s="23">
        <v>0</v>
      </c>
      <c r="K323" s="25">
        <v>-17413</v>
      </c>
      <c r="L323" s="25">
        <f t="shared" ca="1" si="15"/>
        <v>0</v>
      </c>
      <c r="M323" s="25"/>
      <c r="N323" s="35">
        <f t="shared" ca="1" si="13"/>
        <v>0</v>
      </c>
      <c r="O323" s="26" t="s">
        <v>117</v>
      </c>
      <c r="P323" s="1"/>
      <c r="Q323" s="1"/>
    </row>
    <row r="324" spans="6:17" x14ac:dyDescent="0.2">
      <c r="F324" s="1"/>
      <c r="G324" s="5"/>
      <c r="H324" s="24" t="s">
        <v>308</v>
      </c>
      <c r="I324" s="24" t="s">
        <v>18</v>
      </c>
      <c r="J324" s="23">
        <v>0</v>
      </c>
      <c r="K324" s="25">
        <v>0</v>
      </c>
      <c r="L324" s="25">
        <f t="shared" ca="1" si="15"/>
        <v>0</v>
      </c>
      <c r="M324" s="25"/>
      <c r="N324" s="35">
        <f t="shared" ca="1" si="13"/>
        <v>0</v>
      </c>
      <c r="O324" s="26" t="s">
        <v>117</v>
      </c>
      <c r="P324" s="1"/>
      <c r="Q324" s="1"/>
    </row>
    <row r="325" spans="6:17" x14ac:dyDescent="0.2">
      <c r="F325" s="1"/>
      <c r="G325" s="5"/>
      <c r="H325" s="24" t="s">
        <v>309</v>
      </c>
      <c r="I325" s="24" t="s">
        <v>18</v>
      </c>
      <c r="J325" s="23">
        <v>0</v>
      </c>
      <c r="K325" s="25">
        <v>-3764</v>
      </c>
      <c r="L325" s="25">
        <f t="shared" ca="1" si="15"/>
        <v>0</v>
      </c>
      <c r="M325" s="25"/>
      <c r="N325" s="35">
        <f t="shared" ca="1" si="13"/>
        <v>0</v>
      </c>
      <c r="O325" s="26" t="s">
        <v>117</v>
      </c>
      <c r="P325" s="1"/>
      <c r="Q325" s="1"/>
    </row>
    <row r="326" spans="6:17" x14ac:dyDescent="0.2">
      <c r="F326" s="1"/>
      <c r="G326" s="5"/>
      <c r="H326" s="24" t="s">
        <v>310</v>
      </c>
      <c r="I326" s="24" t="s">
        <v>18</v>
      </c>
      <c r="J326" s="23">
        <v>0</v>
      </c>
      <c r="K326" s="25">
        <v>-122368</v>
      </c>
      <c r="L326" s="25">
        <f t="shared" ca="1" si="15"/>
        <v>0</v>
      </c>
      <c r="M326" s="25"/>
      <c r="N326" s="35">
        <f t="shared" ca="1" si="13"/>
        <v>0</v>
      </c>
      <c r="O326" s="26" t="s">
        <v>117</v>
      </c>
      <c r="P326" s="1"/>
      <c r="Q326" s="1"/>
    </row>
    <row r="327" spans="6:17" x14ac:dyDescent="0.2">
      <c r="F327" s="1"/>
      <c r="G327" s="5"/>
      <c r="H327" s="24" t="s">
        <v>311</v>
      </c>
      <c r="I327" s="24" t="s">
        <v>18</v>
      </c>
      <c r="J327" s="23">
        <v>0</v>
      </c>
      <c r="K327" s="25">
        <v>-122368</v>
      </c>
      <c r="L327" s="25">
        <f t="shared" ca="1" si="15"/>
        <v>0</v>
      </c>
      <c r="M327" s="25"/>
      <c r="N327" s="35">
        <f t="shared" ca="1" si="13"/>
        <v>0</v>
      </c>
      <c r="O327" s="26" t="s">
        <v>117</v>
      </c>
      <c r="P327" s="1"/>
      <c r="Q327" s="1"/>
    </row>
    <row r="328" spans="6:17" x14ac:dyDescent="0.2">
      <c r="F328" s="1"/>
      <c r="G328" s="5"/>
      <c r="H328" s="24" t="s">
        <v>312</v>
      </c>
      <c r="I328" s="24" t="s">
        <v>18</v>
      </c>
      <c r="J328" s="23">
        <v>0</v>
      </c>
      <c r="K328" s="25">
        <v>-8658</v>
      </c>
      <c r="L328" s="25">
        <f t="shared" ca="1" si="15"/>
        <v>0</v>
      </c>
      <c r="M328" s="25"/>
      <c r="N328" s="35">
        <f t="shared" ca="1" si="13"/>
        <v>0</v>
      </c>
      <c r="O328" s="26" t="s">
        <v>117</v>
      </c>
      <c r="P328" s="1"/>
      <c r="Q328" s="1"/>
    </row>
    <row r="329" spans="6:17" x14ac:dyDescent="0.2">
      <c r="F329" s="1"/>
      <c r="G329" s="5"/>
      <c r="H329" s="24" t="s">
        <v>313</v>
      </c>
      <c r="I329" s="24" t="s">
        <v>18</v>
      </c>
      <c r="J329" s="23">
        <v>0</v>
      </c>
      <c r="K329" s="25">
        <v>-9733</v>
      </c>
      <c r="L329" s="25">
        <f t="shared" ca="1" si="15"/>
        <v>0</v>
      </c>
      <c r="M329" s="25"/>
      <c r="N329" s="35">
        <f t="shared" ca="1" si="13"/>
        <v>0</v>
      </c>
      <c r="O329" s="26" t="s">
        <v>117</v>
      </c>
      <c r="P329" s="1"/>
      <c r="Q329" s="1"/>
    </row>
    <row r="330" spans="6:17" x14ac:dyDescent="0.2">
      <c r="F330" s="1"/>
      <c r="G330" s="5"/>
      <c r="H330" s="24" t="s">
        <v>314</v>
      </c>
      <c r="I330" s="24" t="s">
        <v>18</v>
      </c>
      <c r="J330" s="23">
        <v>0</v>
      </c>
      <c r="K330" s="25">
        <v>-4542</v>
      </c>
      <c r="L330" s="25">
        <f t="shared" ca="1" si="15"/>
        <v>0</v>
      </c>
      <c r="M330" s="25"/>
      <c r="N330" s="35">
        <f t="shared" ca="1" si="13"/>
        <v>0</v>
      </c>
      <c r="O330" s="26" t="s">
        <v>117</v>
      </c>
      <c r="P330" s="1"/>
      <c r="Q330" s="1"/>
    </row>
    <row r="331" spans="6:17" x14ac:dyDescent="0.2">
      <c r="F331" s="1"/>
      <c r="G331" s="5"/>
      <c r="H331" s="24" t="s">
        <v>315</v>
      </c>
      <c r="I331" s="24" t="s">
        <v>18</v>
      </c>
      <c r="J331" s="23">
        <v>0</v>
      </c>
      <c r="K331" s="25">
        <v>-40577</v>
      </c>
      <c r="L331" s="25">
        <f t="shared" ca="1" si="15"/>
        <v>0</v>
      </c>
      <c r="M331" s="25"/>
      <c r="N331" s="35">
        <f t="shared" ca="1" si="13"/>
        <v>0</v>
      </c>
      <c r="O331" s="26" t="s">
        <v>117</v>
      </c>
      <c r="P331" s="1"/>
      <c r="Q331" s="1"/>
    </row>
    <row r="332" spans="6:17" x14ac:dyDescent="0.2">
      <c r="F332" s="1"/>
      <c r="G332" s="5"/>
      <c r="H332" s="24" t="s">
        <v>316</v>
      </c>
      <c r="I332" s="24" t="s">
        <v>18</v>
      </c>
      <c r="J332" s="23">
        <v>0</v>
      </c>
      <c r="K332" s="25">
        <v>-63662</v>
      </c>
      <c r="L332" s="25">
        <f t="shared" ca="1" si="15"/>
        <v>0</v>
      </c>
      <c r="M332" s="25"/>
      <c r="N332" s="35">
        <f t="shared" ca="1" si="13"/>
        <v>0</v>
      </c>
      <c r="O332" s="26" t="s">
        <v>117</v>
      </c>
      <c r="P332" s="1"/>
      <c r="Q332" s="1"/>
    </row>
    <row r="333" spans="6:17" x14ac:dyDescent="0.2">
      <c r="F333" s="1"/>
      <c r="G333" s="5"/>
      <c r="H333" s="24" t="s">
        <v>317</v>
      </c>
      <c r="I333" s="24" t="s">
        <v>18</v>
      </c>
      <c r="J333" s="23">
        <v>0</v>
      </c>
      <c r="K333" s="25">
        <v>-3047</v>
      </c>
      <c r="L333" s="25">
        <f t="shared" ca="1" si="15"/>
        <v>0</v>
      </c>
      <c r="M333" s="25"/>
      <c r="N333" s="35">
        <f t="shared" ca="1" si="13"/>
        <v>0</v>
      </c>
      <c r="O333" s="26" t="s">
        <v>117</v>
      </c>
      <c r="P333" s="1"/>
      <c r="Q333" s="1"/>
    </row>
    <row r="334" spans="6:17" x14ac:dyDescent="0.2">
      <c r="F334" s="1"/>
      <c r="G334" s="5"/>
      <c r="H334" s="24" t="s">
        <v>318</v>
      </c>
      <c r="I334" s="24" t="s">
        <v>18</v>
      </c>
      <c r="J334" s="23">
        <v>0</v>
      </c>
      <c r="K334" s="25">
        <v>-24198</v>
      </c>
      <c r="L334" s="25">
        <f t="shared" ca="1" si="15"/>
        <v>0</v>
      </c>
      <c r="M334" s="25"/>
      <c r="N334" s="35">
        <f t="shared" ca="1" si="13"/>
        <v>0</v>
      </c>
      <c r="O334" s="26" t="s">
        <v>117</v>
      </c>
      <c r="P334" s="1"/>
      <c r="Q334" s="1"/>
    </row>
    <row r="335" spans="6:17" x14ac:dyDescent="0.2">
      <c r="F335" s="1"/>
      <c r="G335" s="5"/>
      <c r="H335" s="24" t="s">
        <v>319</v>
      </c>
      <c r="I335" s="24" t="s">
        <v>18</v>
      </c>
      <c r="J335" s="23">
        <v>0</v>
      </c>
      <c r="K335" s="25">
        <v>-24198</v>
      </c>
      <c r="L335" s="25">
        <f t="shared" ca="1" si="15"/>
        <v>0</v>
      </c>
      <c r="M335" s="25"/>
      <c r="N335" s="35">
        <f t="shared" ca="1" si="13"/>
        <v>0</v>
      </c>
      <c r="O335" s="26" t="s">
        <v>117</v>
      </c>
      <c r="P335" s="1"/>
      <c r="Q335" s="1"/>
    </row>
    <row r="336" spans="6:17" x14ac:dyDescent="0.2">
      <c r="F336" s="1"/>
      <c r="G336" s="5"/>
      <c r="H336" s="24" t="s">
        <v>320</v>
      </c>
      <c r="I336" s="24" t="s">
        <v>18</v>
      </c>
      <c r="J336" s="23">
        <v>0</v>
      </c>
      <c r="K336" s="25">
        <v>-24198</v>
      </c>
      <c r="L336" s="25">
        <f t="shared" ca="1" si="15"/>
        <v>0</v>
      </c>
      <c r="M336" s="25"/>
      <c r="N336" s="35">
        <f t="shared" ca="1" si="13"/>
        <v>0</v>
      </c>
      <c r="O336" s="26" t="s">
        <v>117</v>
      </c>
      <c r="P336" s="1"/>
      <c r="Q336" s="1"/>
    </row>
    <row r="337" spans="6:17" x14ac:dyDescent="0.2">
      <c r="F337" s="1"/>
      <c r="G337" s="5"/>
      <c r="H337" s="24" t="s">
        <v>321</v>
      </c>
      <c r="I337" s="24" t="s">
        <v>18</v>
      </c>
      <c r="J337" s="23">
        <v>0</v>
      </c>
      <c r="K337" s="25">
        <v>-37102.25</v>
      </c>
      <c r="L337" s="25">
        <f t="shared" ca="1" si="15"/>
        <v>0</v>
      </c>
      <c r="M337" s="25"/>
      <c r="N337" s="35">
        <f t="shared" ca="1" si="13"/>
        <v>0</v>
      </c>
      <c r="O337" s="26" t="s">
        <v>117</v>
      </c>
      <c r="P337" s="1"/>
      <c r="Q337" s="1"/>
    </row>
    <row r="338" spans="6:17" x14ac:dyDescent="0.2">
      <c r="F338" s="1"/>
      <c r="G338" s="5"/>
      <c r="H338" s="24" t="s">
        <v>322</v>
      </c>
      <c r="I338" s="24" t="s">
        <v>18</v>
      </c>
      <c r="J338" s="23">
        <v>0</v>
      </c>
      <c r="K338" s="25">
        <v>-14307.2</v>
      </c>
      <c r="L338" s="25">
        <f t="shared" ca="1" si="15"/>
        <v>0</v>
      </c>
      <c r="M338" s="25"/>
      <c r="N338" s="35">
        <f t="shared" ca="1" si="13"/>
        <v>0</v>
      </c>
      <c r="O338" s="26" t="s">
        <v>117</v>
      </c>
      <c r="P338" s="1"/>
      <c r="Q338" s="1"/>
    </row>
    <row r="339" spans="6:17" x14ac:dyDescent="0.2">
      <c r="F339" s="1"/>
      <c r="G339" s="5"/>
      <c r="H339" s="24" t="s">
        <v>323</v>
      </c>
      <c r="I339" s="24" t="s">
        <v>18</v>
      </c>
      <c r="J339" s="23">
        <v>0</v>
      </c>
      <c r="K339" s="25">
        <v>-64936</v>
      </c>
      <c r="L339" s="25">
        <f t="shared" ca="1" si="15"/>
        <v>0</v>
      </c>
      <c r="M339" s="25"/>
      <c r="N339" s="35">
        <f t="shared" ca="1" si="13"/>
        <v>0</v>
      </c>
      <c r="O339" s="26" t="s">
        <v>117</v>
      </c>
      <c r="P339" s="1"/>
      <c r="Q339" s="1"/>
    </row>
    <row r="340" spans="6:17" x14ac:dyDescent="0.2">
      <c r="F340" s="1"/>
      <c r="G340" s="5"/>
      <c r="H340" s="24" t="s">
        <v>324</v>
      </c>
      <c r="I340" s="24" t="s">
        <v>18</v>
      </c>
      <c r="J340" s="23">
        <v>0</v>
      </c>
      <c r="K340" s="25">
        <v>-1102.3</v>
      </c>
      <c r="L340" s="25">
        <f t="shared" ca="1" si="15"/>
        <v>0</v>
      </c>
      <c r="M340" s="25"/>
      <c r="N340" s="35">
        <f t="shared" ref="N340:N401" ca="1" si="16">IF(AND(M340&gt;L340-0.1,M340&lt;L340+0.1),0,1)</f>
        <v>0</v>
      </c>
      <c r="O340" s="26" t="s">
        <v>117</v>
      </c>
      <c r="P340" s="1"/>
      <c r="Q340" s="1"/>
    </row>
    <row r="341" spans="6:17" x14ac:dyDescent="0.2">
      <c r="F341" s="1"/>
      <c r="G341" s="5"/>
      <c r="H341" s="24" t="s">
        <v>325</v>
      </c>
      <c r="I341" s="24" t="s">
        <v>18</v>
      </c>
      <c r="J341" s="23">
        <v>0</v>
      </c>
      <c r="K341" s="25">
        <v>-425.06</v>
      </c>
      <c r="L341" s="25">
        <f t="shared" ca="1" si="15"/>
        <v>0</v>
      </c>
      <c r="M341" s="25"/>
      <c r="N341" s="35">
        <f t="shared" ca="1" si="16"/>
        <v>0</v>
      </c>
      <c r="O341" s="26" t="s">
        <v>117</v>
      </c>
      <c r="P341" s="1"/>
      <c r="Q341" s="1"/>
    </row>
    <row r="342" spans="6:17" x14ac:dyDescent="0.2">
      <c r="F342" s="1"/>
      <c r="G342" s="5"/>
      <c r="H342" s="24" t="s">
        <v>326</v>
      </c>
      <c r="I342" s="24" t="s">
        <v>18</v>
      </c>
      <c r="J342" s="23">
        <v>0</v>
      </c>
      <c r="K342" s="25">
        <v>0</v>
      </c>
      <c r="L342" s="25">
        <f t="shared" ca="1" si="15"/>
        <v>0</v>
      </c>
      <c r="M342" s="25"/>
      <c r="N342" s="35">
        <f t="shared" ca="1" si="16"/>
        <v>0</v>
      </c>
      <c r="O342" s="26" t="s">
        <v>117</v>
      </c>
      <c r="P342" s="1"/>
      <c r="Q342" s="1"/>
    </row>
    <row r="343" spans="6:17" x14ac:dyDescent="0.2">
      <c r="F343" s="1"/>
      <c r="G343" s="5"/>
      <c r="H343" s="24" t="s">
        <v>327</v>
      </c>
      <c r="I343" s="24" t="s">
        <v>18</v>
      </c>
      <c r="J343" s="23">
        <v>0</v>
      </c>
      <c r="K343" s="25">
        <v>-14146.42</v>
      </c>
      <c r="L343" s="25">
        <f t="shared" ca="1" si="15"/>
        <v>0</v>
      </c>
      <c r="M343" s="25"/>
      <c r="N343" s="35">
        <f t="shared" ca="1" si="16"/>
        <v>0</v>
      </c>
      <c r="O343" s="26" t="s">
        <v>117</v>
      </c>
      <c r="P343" s="1"/>
      <c r="Q343" s="1"/>
    </row>
    <row r="344" spans="6:17" x14ac:dyDescent="0.2">
      <c r="F344" s="1"/>
      <c r="G344" s="5"/>
      <c r="H344" s="24" t="s">
        <v>328</v>
      </c>
      <c r="I344" s="24" t="s">
        <v>18</v>
      </c>
      <c r="J344" s="23">
        <v>0</v>
      </c>
      <c r="K344" s="25">
        <v>-5455.08</v>
      </c>
      <c r="L344" s="25">
        <f t="shared" ca="1" si="15"/>
        <v>0</v>
      </c>
      <c r="M344" s="25"/>
      <c r="N344" s="35">
        <f t="shared" ca="1" si="16"/>
        <v>0</v>
      </c>
      <c r="O344" s="26" t="s">
        <v>117</v>
      </c>
      <c r="P344" s="1"/>
      <c r="Q344" s="1"/>
    </row>
    <row r="345" spans="6:17" x14ac:dyDescent="0.2">
      <c r="F345" s="1"/>
      <c r="G345" s="5"/>
      <c r="H345" s="24" t="s">
        <v>329</v>
      </c>
      <c r="I345" s="24" t="s">
        <v>18</v>
      </c>
      <c r="J345" s="23">
        <v>0</v>
      </c>
      <c r="K345" s="25">
        <v>-5455.08</v>
      </c>
      <c r="L345" s="25">
        <f t="shared" ca="1" si="15"/>
        <v>0</v>
      </c>
      <c r="M345" s="25"/>
      <c r="N345" s="35">
        <f t="shared" ca="1" si="16"/>
        <v>0</v>
      </c>
      <c r="O345" s="26" t="s">
        <v>117</v>
      </c>
      <c r="P345" s="1"/>
      <c r="Q345" s="1"/>
    </row>
    <row r="346" spans="6:17" x14ac:dyDescent="0.2">
      <c r="F346" s="1"/>
      <c r="G346" s="5"/>
      <c r="H346" s="24" t="s">
        <v>330</v>
      </c>
      <c r="I346" s="24" t="s">
        <v>18</v>
      </c>
      <c r="J346" s="23">
        <v>0</v>
      </c>
      <c r="K346" s="25">
        <v>5455.08</v>
      </c>
      <c r="L346" s="25">
        <f t="shared" ref="L346:L377" ca="1" si="17">ROUND(J346*K346,2)</f>
        <v>0</v>
      </c>
      <c r="M346" s="25"/>
      <c r="N346" s="35">
        <f t="shared" ca="1" si="16"/>
        <v>0</v>
      </c>
      <c r="O346" s="26" t="s">
        <v>117</v>
      </c>
      <c r="P346" s="1"/>
      <c r="Q346" s="1"/>
    </row>
    <row r="347" spans="6:17" x14ac:dyDescent="0.2">
      <c r="F347" s="1"/>
      <c r="G347" s="5"/>
      <c r="H347" s="24" t="s">
        <v>331</v>
      </c>
      <c r="I347" s="24" t="s">
        <v>18</v>
      </c>
      <c r="J347" s="23">
        <v>0</v>
      </c>
      <c r="K347" s="25">
        <v>-11764</v>
      </c>
      <c r="L347" s="25">
        <f t="shared" ca="1" si="17"/>
        <v>0</v>
      </c>
      <c r="M347" s="25"/>
      <c r="N347" s="35">
        <f t="shared" ca="1" si="16"/>
        <v>0</v>
      </c>
      <c r="O347" s="26" t="s">
        <v>117</v>
      </c>
      <c r="P347" s="1"/>
      <c r="Q347" s="1"/>
    </row>
    <row r="348" spans="6:17" x14ac:dyDescent="0.2">
      <c r="F348" s="1"/>
      <c r="G348" s="5"/>
      <c r="H348" s="24" t="s">
        <v>332</v>
      </c>
      <c r="I348" s="24" t="s">
        <v>18</v>
      </c>
      <c r="J348" s="23">
        <v>0</v>
      </c>
      <c r="K348" s="25">
        <v>-11764</v>
      </c>
      <c r="L348" s="25">
        <f t="shared" ca="1" si="17"/>
        <v>0</v>
      </c>
      <c r="M348" s="25"/>
      <c r="N348" s="35">
        <f t="shared" ca="1" si="16"/>
        <v>0</v>
      </c>
      <c r="O348" s="26" t="s">
        <v>117</v>
      </c>
      <c r="P348" s="1"/>
      <c r="Q348" s="1"/>
    </row>
    <row r="349" spans="6:17" x14ac:dyDescent="0.2">
      <c r="F349" s="1"/>
      <c r="G349" s="5"/>
      <c r="H349" s="24" t="s">
        <v>333</v>
      </c>
      <c r="I349" s="24" t="s">
        <v>18</v>
      </c>
      <c r="J349" s="23">
        <v>0</v>
      </c>
      <c r="K349" s="25">
        <v>11764</v>
      </c>
      <c r="L349" s="25">
        <f t="shared" ca="1" si="17"/>
        <v>0</v>
      </c>
      <c r="M349" s="25"/>
      <c r="N349" s="35">
        <f t="shared" ca="1" si="16"/>
        <v>0</v>
      </c>
      <c r="O349" s="26" t="s">
        <v>117</v>
      </c>
      <c r="P349" s="1"/>
      <c r="Q349" s="1"/>
    </row>
    <row r="350" spans="6:17" x14ac:dyDescent="0.2">
      <c r="F350" s="1"/>
      <c r="G350" s="5"/>
      <c r="H350" s="24" t="s">
        <v>334</v>
      </c>
      <c r="I350" s="24" t="s">
        <v>18</v>
      </c>
      <c r="J350" s="23">
        <v>0</v>
      </c>
      <c r="K350" s="25">
        <v>-1214</v>
      </c>
      <c r="L350" s="25">
        <f t="shared" ca="1" si="17"/>
        <v>0</v>
      </c>
      <c r="M350" s="25"/>
      <c r="N350" s="35">
        <f t="shared" ca="1" si="16"/>
        <v>0</v>
      </c>
      <c r="O350" s="26" t="s">
        <v>117</v>
      </c>
      <c r="P350" s="1"/>
      <c r="Q350" s="1"/>
    </row>
    <row r="351" spans="6:17" x14ac:dyDescent="0.2">
      <c r="F351" s="1"/>
      <c r="G351" s="5"/>
      <c r="H351" s="24" t="s">
        <v>335</v>
      </c>
      <c r="I351" s="24" t="s">
        <v>18</v>
      </c>
      <c r="J351" s="23">
        <v>0</v>
      </c>
      <c r="K351" s="25">
        <v>-1214</v>
      </c>
      <c r="L351" s="25">
        <f t="shared" ca="1" si="17"/>
        <v>0</v>
      </c>
      <c r="M351" s="25"/>
      <c r="N351" s="35">
        <f t="shared" ca="1" si="16"/>
        <v>0</v>
      </c>
      <c r="O351" s="26" t="s">
        <v>117</v>
      </c>
      <c r="P351" s="1"/>
      <c r="Q351" s="1"/>
    </row>
    <row r="352" spans="6:17" x14ac:dyDescent="0.2">
      <c r="F352" s="1"/>
      <c r="G352" s="5"/>
      <c r="H352" s="24" t="s">
        <v>336</v>
      </c>
      <c r="I352" s="24" t="s">
        <v>18</v>
      </c>
      <c r="J352" s="23">
        <v>0</v>
      </c>
      <c r="K352" s="25">
        <v>1214</v>
      </c>
      <c r="L352" s="25">
        <f t="shared" ca="1" si="17"/>
        <v>0</v>
      </c>
      <c r="M352" s="25"/>
      <c r="N352" s="35">
        <f t="shared" ca="1" si="16"/>
        <v>0</v>
      </c>
      <c r="O352" s="26" t="s">
        <v>117</v>
      </c>
      <c r="P352" s="1"/>
      <c r="Q352" s="1"/>
    </row>
    <row r="353" spans="6:17" x14ac:dyDescent="0.2">
      <c r="F353" s="1"/>
      <c r="G353" s="5"/>
      <c r="H353" s="24" t="s">
        <v>337</v>
      </c>
      <c r="I353" s="24" t="s">
        <v>18</v>
      </c>
      <c r="J353" s="23">
        <v>0</v>
      </c>
      <c r="K353" s="25">
        <v>0</v>
      </c>
      <c r="L353" s="25">
        <f t="shared" ca="1" si="17"/>
        <v>0</v>
      </c>
      <c r="M353" s="25"/>
      <c r="N353" s="35">
        <f t="shared" ca="1" si="16"/>
        <v>0</v>
      </c>
      <c r="O353" s="26" t="s">
        <v>117</v>
      </c>
      <c r="P353" s="1"/>
      <c r="Q353" s="1"/>
    </row>
    <row r="354" spans="6:17" x14ac:dyDescent="0.2">
      <c r="F354" s="1"/>
      <c r="G354" s="5"/>
      <c r="H354" s="24" t="s">
        <v>338</v>
      </c>
      <c r="I354" s="24" t="s">
        <v>18</v>
      </c>
      <c r="J354" s="23">
        <v>0</v>
      </c>
      <c r="K354" s="25">
        <v>-468</v>
      </c>
      <c r="L354" s="25">
        <f t="shared" ca="1" si="17"/>
        <v>0</v>
      </c>
      <c r="M354" s="25"/>
      <c r="N354" s="35">
        <f t="shared" ca="1" si="16"/>
        <v>0</v>
      </c>
      <c r="O354" s="26" t="s">
        <v>117</v>
      </c>
      <c r="P354" s="1"/>
      <c r="Q354" s="1"/>
    </row>
    <row r="355" spans="6:17" x14ac:dyDescent="0.2">
      <c r="F355" s="1"/>
      <c r="G355" s="5"/>
      <c r="H355" s="24" t="s">
        <v>339</v>
      </c>
      <c r="I355" s="24" t="s">
        <v>18</v>
      </c>
      <c r="J355" s="23">
        <v>0</v>
      </c>
      <c r="K355" s="25">
        <v>-1244.81</v>
      </c>
      <c r="L355" s="25">
        <f t="shared" ca="1" si="17"/>
        <v>0</v>
      </c>
      <c r="M355" s="25"/>
      <c r="N355" s="35">
        <f t="shared" ca="1" si="16"/>
        <v>0</v>
      </c>
      <c r="O355" s="26" t="s">
        <v>117</v>
      </c>
      <c r="P355" s="1"/>
      <c r="Q355" s="1"/>
    </row>
    <row r="356" spans="6:17" x14ac:dyDescent="0.2">
      <c r="F356" s="1"/>
      <c r="G356" s="5"/>
      <c r="H356" s="24" t="s">
        <v>340</v>
      </c>
      <c r="I356" s="24" t="s">
        <v>18</v>
      </c>
      <c r="J356" s="23">
        <v>0</v>
      </c>
      <c r="K356" s="25">
        <v>-14119.44</v>
      </c>
      <c r="L356" s="25">
        <f t="shared" ca="1" si="17"/>
        <v>0</v>
      </c>
      <c r="M356" s="25"/>
      <c r="N356" s="35">
        <f t="shared" ca="1" si="16"/>
        <v>0</v>
      </c>
      <c r="O356" s="26" t="s">
        <v>117</v>
      </c>
      <c r="P356" s="1"/>
      <c r="Q356" s="1"/>
    </row>
    <row r="357" spans="6:17" x14ac:dyDescent="0.2">
      <c r="F357" s="1"/>
      <c r="G357" s="5"/>
      <c r="H357" s="24" t="s">
        <v>341</v>
      </c>
      <c r="I357" s="24" t="s">
        <v>18</v>
      </c>
      <c r="J357" s="23">
        <v>0</v>
      </c>
      <c r="K357" s="25">
        <v>-4707.42</v>
      </c>
      <c r="L357" s="25">
        <f t="shared" ca="1" si="17"/>
        <v>0</v>
      </c>
      <c r="M357" s="25"/>
      <c r="N357" s="35">
        <f t="shared" ca="1" si="16"/>
        <v>0</v>
      </c>
      <c r="O357" s="26" t="s">
        <v>117</v>
      </c>
      <c r="P357" s="1"/>
      <c r="Q357" s="1"/>
    </row>
    <row r="358" spans="6:17" x14ac:dyDescent="0.2">
      <c r="F358" s="1"/>
      <c r="G358" s="5"/>
      <c r="H358" s="24" t="s">
        <v>342</v>
      </c>
      <c r="I358" s="24" t="s">
        <v>18</v>
      </c>
      <c r="J358" s="23">
        <v>0</v>
      </c>
      <c r="K358" s="25">
        <v>-4232.99</v>
      </c>
      <c r="L358" s="25">
        <f t="shared" ca="1" si="17"/>
        <v>0</v>
      </c>
      <c r="M358" s="25"/>
      <c r="N358" s="35">
        <f t="shared" ca="1" si="16"/>
        <v>0</v>
      </c>
      <c r="O358" s="26" t="s">
        <v>117</v>
      </c>
      <c r="P358" s="1"/>
      <c r="Q358" s="1"/>
    </row>
    <row r="359" spans="6:17" x14ac:dyDescent="0.2">
      <c r="F359" s="1"/>
      <c r="G359" s="5"/>
      <c r="H359" s="24" t="s">
        <v>343</v>
      </c>
      <c r="I359" s="24" t="s">
        <v>18</v>
      </c>
      <c r="J359" s="23">
        <v>0</v>
      </c>
      <c r="K359" s="25">
        <v>-103710.51</v>
      </c>
      <c r="L359" s="25">
        <f t="shared" ca="1" si="17"/>
        <v>0</v>
      </c>
      <c r="M359" s="25"/>
      <c r="N359" s="35">
        <f t="shared" ca="1" si="16"/>
        <v>0</v>
      </c>
      <c r="O359" s="26" t="s">
        <v>117</v>
      </c>
      <c r="P359" s="1"/>
      <c r="Q359" s="1"/>
    </row>
    <row r="360" spans="6:17" x14ac:dyDescent="0.2">
      <c r="F360" s="1"/>
      <c r="G360" s="5"/>
      <c r="H360" s="24" t="s">
        <v>344</v>
      </c>
      <c r="I360" s="24" t="s">
        <v>18</v>
      </c>
      <c r="J360" s="23">
        <v>0</v>
      </c>
      <c r="K360" s="25">
        <v>-31474.400000000001</v>
      </c>
      <c r="L360" s="25">
        <f t="shared" ca="1" si="17"/>
        <v>0</v>
      </c>
      <c r="M360" s="25"/>
      <c r="N360" s="35">
        <f t="shared" ca="1" si="16"/>
        <v>0</v>
      </c>
      <c r="O360" s="26" t="s">
        <v>117</v>
      </c>
      <c r="P360" s="1"/>
      <c r="Q360" s="1"/>
    </row>
    <row r="361" spans="6:17" x14ac:dyDescent="0.2">
      <c r="F361" s="1"/>
      <c r="G361" s="5"/>
      <c r="H361" s="24" t="s">
        <v>345</v>
      </c>
      <c r="I361" s="24" t="s">
        <v>18</v>
      </c>
      <c r="J361" s="23">
        <v>0</v>
      </c>
      <c r="K361" s="25">
        <v>-12863.4</v>
      </c>
      <c r="L361" s="25">
        <f t="shared" ca="1" si="17"/>
        <v>0</v>
      </c>
      <c r="M361" s="25"/>
      <c r="N361" s="35">
        <f t="shared" ca="1" si="16"/>
        <v>0</v>
      </c>
      <c r="O361" s="26" t="s">
        <v>117</v>
      </c>
      <c r="P361" s="1"/>
      <c r="Q361" s="1"/>
    </row>
    <row r="362" spans="6:17" x14ac:dyDescent="0.2">
      <c r="F362" s="1"/>
      <c r="G362" s="5"/>
      <c r="H362" s="24" t="s">
        <v>346</v>
      </c>
      <c r="I362" s="24" t="s">
        <v>18</v>
      </c>
      <c r="J362" s="23">
        <v>0</v>
      </c>
      <c r="K362" s="25">
        <v>-9656</v>
      </c>
      <c r="L362" s="25">
        <f t="shared" ca="1" si="17"/>
        <v>0</v>
      </c>
      <c r="M362" s="25"/>
      <c r="N362" s="35">
        <f t="shared" ca="1" si="16"/>
        <v>0</v>
      </c>
      <c r="O362" s="26" t="s">
        <v>117</v>
      </c>
      <c r="P362" s="1"/>
      <c r="Q362" s="1"/>
    </row>
    <row r="363" spans="6:17" x14ac:dyDescent="0.2">
      <c r="F363" s="1"/>
      <c r="G363" s="5"/>
      <c r="H363" s="24" t="s">
        <v>347</v>
      </c>
      <c r="I363" s="24" t="s">
        <v>18</v>
      </c>
      <c r="J363" s="23">
        <v>0</v>
      </c>
      <c r="K363" s="25">
        <v>-9656</v>
      </c>
      <c r="L363" s="25">
        <f t="shared" ca="1" si="17"/>
        <v>0</v>
      </c>
      <c r="M363" s="25"/>
      <c r="N363" s="35">
        <f t="shared" ca="1" si="16"/>
        <v>0</v>
      </c>
      <c r="O363" s="26" t="s">
        <v>117</v>
      </c>
      <c r="P363" s="1"/>
      <c r="Q363" s="1"/>
    </row>
    <row r="364" spans="6:17" x14ac:dyDescent="0.2">
      <c r="F364" s="1"/>
      <c r="G364" s="5"/>
      <c r="H364" s="24" t="s">
        <v>348</v>
      </c>
      <c r="I364" s="24" t="s">
        <v>18</v>
      </c>
      <c r="J364" s="23">
        <v>0</v>
      </c>
      <c r="K364" s="25">
        <v>-9656</v>
      </c>
      <c r="L364" s="25">
        <f t="shared" ca="1" si="17"/>
        <v>0</v>
      </c>
      <c r="M364" s="25"/>
      <c r="N364" s="35">
        <f t="shared" ca="1" si="16"/>
        <v>0</v>
      </c>
      <c r="O364" s="26" t="s">
        <v>117</v>
      </c>
      <c r="P364" s="1"/>
      <c r="Q364" s="1"/>
    </row>
    <row r="365" spans="6:17" x14ac:dyDescent="0.2">
      <c r="F365" s="1"/>
      <c r="G365" s="5"/>
      <c r="H365" s="24" t="s">
        <v>349</v>
      </c>
      <c r="I365" s="24" t="s">
        <v>18</v>
      </c>
      <c r="J365" s="23">
        <v>0</v>
      </c>
      <c r="K365" s="25">
        <v>-7250</v>
      </c>
      <c r="L365" s="25">
        <f t="shared" ca="1" si="17"/>
        <v>0</v>
      </c>
      <c r="M365" s="25"/>
      <c r="N365" s="35">
        <f t="shared" ca="1" si="16"/>
        <v>0</v>
      </c>
      <c r="O365" s="26" t="s">
        <v>117</v>
      </c>
      <c r="P365" s="1"/>
      <c r="Q365" s="1"/>
    </row>
    <row r="366" spans="6:17" x14ac:dyDescent="0.2">
      <c r="F366" s="1"/>
      <c r="G366" s="5"/>
      <c r="H366" s="24" t="s">
        <v>350</v>
      </c>
      <c r="I366" s="24" t="s">
        <v>18</v>
      </c>
      <c r="J366" s="23">
        <v>0</v>
      </c>
      <c r="K366" s="25">
        <v>-7300</v>
      </c>
      <c r="L366" s="25">
        <f t="shared" ca="1" si="17"/>
        <v>0</v>
      </c>
      <c r="M366" s="25"/>
      <c r="N366" s="35">
        <f t="shared" ca="1" si="16"/>
        <v>0</v>
      </c>
      <c r="O366" s="26" t="s">
        <v>117</v>
      </c>
      <c r="P366" s="1"/>
      <c r="Q366" s="1"/>
    </row>
    <row r="367" spans="6:17" x14ac:dyDescent="0.2">
      <c r="F367" s="1"/>
      <c r="G367" s="5"/>
      <c r="H367" s="24" t="s">
        <v>351</v>
      </c>
      <c r="I367" s="24" t="s">
        <v>18</v>
      </c>
      <c r="J367" s="23">
        <v>0</v>
      </c>
      <c r="K367" s="25">
        <v>-5800</v>
      </c>
      <c r="L367" s="25">
        <f t="shared" ca="1" si="17"/>
        <v>0</v>
      </c>
      <c r="M367" s="25"/>
      <c r="N367" s="35">
        <f t="shared" ca="1" si="16"/>
        <v>0</v>
      </c>
      <c r="O367" s="26" t="s">
        <v>117</v>
      </c>
      <c r="P367" s="1"/>
      <c r="Q367" s="1"/>
    </row>
    <row r="368" spans="6:17" x14ac:dyDescent="0.2">
      <c r="F368" s="1"/>
      <c r="G368" s="5"/>
      <c r="H368" s="24" t="s">
        <v>352</v>
      </c>
      <c r="I368" s="24" t="s">
        <v>18</v>
      </c>
      <c r="J368" s="23">
        <v>0</v>
      </c>
      <c r="K368" s="25">
        <v>-5800</v>
      </c>
      <c r="L368" s="25">
        <f t="shared" ca="1" si="17"/>
        <v>0</v>
      </c>
      <c r="M368" s="25"/>
      <c r="N368" s="35">
        <f t="shared" ca="1" si="16"/>
        <v>0</v>
      </c>
      <c r="O368" s="26" t="s">
        <v>117</v>
      </c>
      <c r="P368" s="1"/>
      <c r="Q368" s="1"/>
    </row>
    <row r="369" spans="6:17" x14ac:dyDescent="0.2">
      <c r="F369" s="1"/>
      <c r="G369" s="5"/>
      <c r="H369" s="24" t="s">
        <v>353</v>
      </c>
      <c r="I369" s="24" t="s">
        <v>18</v>
      </c>
      <c r="J369" s="23">
        <v>0</v>
      </c>
      <c r="K369" s="25">
        <v>-5800</v>
      </c>
      <c r="L369" s="25">
        <f t="shared" ca="1" si="17"/>
        <v>0</v>
      </c>
      <c r="M369" s="25"/>
      <c r="N369" s="35">
        <f t="shared" ca="1" si="16"/>
        <v>0</v>
      </c>
      <c r="O369" s="26" t="s">
        <v>117</v>
      </c>
      <c r="P369" s="1"/>
      <c r="Q369" s="1"/>
    </row>
    <row r="370" spans="6:17" x14ac:dyDescent="0.2">
      <c r="F370" s="1"/>
      <c r="G370" s="5"/>
      <c r="H370" s="24" t="s">
        <v>354</v>
      </c>
      <c r="I370" s="24" t="s">
        <v>18</v>
      </c>
      <c r="J370" s="23">
        <v>0</v>
      </c>
      <c r="K370" s="25">
        <v>-5800</v>
      </c>
      <c r="L370" s="25">
        <f t="shared" ca="1" si="17"/>
        <v>0</v>
      </c>
      <c r="M370" s="25"/>
      <c r="N370" s="35">
        <f t="shared" ca="1" si="16"/>
        <v>0</v>
      </c>
      <c r="O370" s="26" t="s">
        <v>117</v>
      </c>
      <c r="P370" s="1"/>
      <c r="Q370" s="1"/>
    </row>
    <row r="371" spans="6:17" x14ac:dyDescent="0.2">
      <c r="F371" s="1"/>
      <c r="G371" s="5"/>
      <c r="H371" s="24" t="s">
        <v>355</v>
      </c>
      <c r="I371" s="24" t="s">
        <v>18</v>
      </c>
      <c r="J371" s="23">
        <v>0</v>
      </c>
      <c r="K371" s="25">
        <v>-5805</v>
      </c>
      <c r="L371" s="25">
        <f t="shared" ca="1" si="17"/>
        <v>0</v>
      </c>
      <c r="M371" s="25"/>
      <c r="N371" s="35">
        <f t="shared" ca="1" si="16"/>
        <v>0</v>
      </c>
      <c r="O371" s="26" t="s">
        <v>117</v>
      </c>
      <c r="P371" s="1"/>
      <c r="Q371" s="1"/>
    </row>
    <row r="372" spans="6:17" x14ac:dyDescent="0.2">
      <c r="F372" s="1"/>
      <c r="G372" s="5"/>
      <c r="H372" s="24" t="s">
        <v>356</v>
      </c>
      <c r="I372" s="24" t="s">
        <v>18</v>
      </c>
      <c r="J372" s="23">
        <v>0</v>
      </c>
      <c r="K372" s="25">
        <v>-12500</v>
      </c>
      <c r="L372" s="25">
        <f t="shared" ca="1" si="17"/>
        <v>0</v>
      </c>
      <c r="M372" s="25"/>
      <c r="N372" s="35">
        <f t="shared" ca="1" si="16"/>
        <v>0</v>
      </c>
      <c r="O372" s="26" t="s">
        <v>117</v>
      </c>
      <c r="P372" s="1"/>
    </row>
    <row r="373" spans="6:17" x14ac:dyDescent="0.2">
      <c r="F373" s="1"/>
      <c r="G373" s="5"/>
      <c r="H373" s="24" t="s">
        <v>357</v>
      </c>
      <c r="I373" s="24" t="s">
        <v>18</v>
      </c>
      <c r="J373" s="23">
        <v>0</v>
      </c>
      <c r="K373" s="25">
        <v>-20000</v>
      </c>
      <c r="L373" s="25">
        <f t="shared" ca="1" si="17"/>
        <v>0</v>
      </c>
      <c r="M373" s="25"/>
      <c r="N373" s="35">
        <f t="shared" ca="1" si="16"/>
        <v>0</v>
      </c>
      <c r="O373" s="26" t="s">
        <v>117</v>
      </c>
      <c r="P373" s="1"/>
    </row>
    <row r="374" spans="6:17" x14ac:dyDescent="0.2">
      <c r="F374" s="1"/>
      <c r="G374" s="5"/>
      <c r="H374" s="24" t="s">
        <v>358</v>
      </c>
      <c r="I374" s="24" t="s">
        <v>18</v>
      </c>
      <c r="J374" s="23">
        <v>0</v>
      </c>
      <c r="K374" s="25">
        <v>-20000</v>
      </c>
      <c r="L374" s="25">
        <f t="shared" ca="1" si="17"/>
        <v>0</v>
      </c>
      <c r="M374" s="25"/>
      <c r="N374" s="35">
        <f t="shared" ca="1" si="16"/>
        <v>0</v>
      </c>
      <c r="O374" s="26" t="s">
        <v>117</v>
      </c>
      <c r="P374" s="1"/>
    </row>
    <row r="375" spans="6:17" x14ac:dyDescent="0.2">
      <c r="F375" s="1"/>
      <c r="G375" s="5"/>
      <c r="H375" s="24" t="s">
        <v>453</v>
      </c>
      <c r="I375" s="24" t="s">
        <v>18</v>
      </c>
      <c r="J375" s="23">
        <v>0</v>
      </c>
      <c r="K375" s="25">
        <v>26957.08</v>
      </c>
      <c r="L375" s="25">
        <f t="shared" ca="1" si="17"/>
        <v>0</v>
      </c>
      <c r="M375" s="25"/>
      <c r="N375" s="35">
        <f t="shared" ca="1" si="16"/>
        <v>0</v>
      </c>
      <c r="O375" s="26" t="s">
        <v>117</v>
      </c>
      <c r="P375" s="1"/>
    </row>
    <row r="376" spans="6:17" x14ac:dyDescent="0.2">
      <c r="F376" s="1"/>
      <c r="G376" s="5"/>
      <c r="H376" s="24" t="s">
        <v>235</v>
      </c>
      <c r="I376" s="24" t="s">
        <v>18</v>
      </c>
      <c r="J376" s="23">
        <v>0</v>
      </c>
      <c r="K376" s="25">
        <v>1405.26</v>
      </c>
      <c r="L376" s="25">
        <f t="shared" ca="1" si="17"/>
        <v>0</v>
      </c>
      <c r="M376" s="25"/>
      <c r="N376" s="35">
        <f t="shared" ca="1" si="16"/>
        <v>0</v>
      </c>
      <c r="O376" s="26" t="s">
        <v>117</v>
      </c>
      <c r="P376" s="1"/>
    </row>
    <row r="377" spans="6:17" x14ac:dyDescent="0.2">
      <c r="F377" s="1"/>
      <c r="G377" s="5"/>
      <c r="H377" s="24" t="s">
        <v>147</v>
      </c>
      <c r="I377" s="24" t="s">
        <v>18</v>
      </c>
      <c r="J377" s="23">
        <v>0</v>
      </c>
      <c r="K377" s="25">
        <v>-158126.96</v>
      </c>
      <c r="L377" s="25">
        <f t="shared" ca="1" si="17"/>
        <v>0</v>
      </c>
      <c r="M377" s="25"/>
      <c r="N377" s="35">
        <f t="shared" ca="1" si="16"/>
        <v>0</v>
      </c>
      <c r="O377" s="26" t="s">
        <v>117</v>
      </c>
      <c r="P377" s="1"/>
    </row>
    <row r="378" spans="6:17" x14ac:dyDescent="0.2">
      <c r="F378" s="1"/>
      <c r="G378" s="5"/>
      <c r="H378" s="24" t="s">
        <v>446</v>
      </c>
      <c r="I378" s="24" t="s">
        <v>18</v>
      </c>
      <c r="J378" s="23">
        <v>0</v>
      </c>
      <c r="K378" s="25">
        <v>158126.96</v>
      </c>
      <c r="L378" s="25">
        <f t="shared" ref="L378:L382" ca="1" si="18">ROUND(J378*K378,2)</f>
        <v>0</v>
      </c>
      <c r="M378" s="25"/>
      <c r="N378" s="35">
        <f t="shared" ca="1" si="16"/>
        <v>0</v>
      </c>
      <c r="O378" s="26" t="s">
        <v>117</v>
      </c>
      <c r="P378" s="1"/>
    </row>
    <row r="379" spans="6:17" x14ac:dyDescent="0.2">
      <c r="F379" s="1"/>
      <c r="G379" s="5"/>
      <c r="H379" s="24" t="s">
        <v>447</v>
      </c>
      <c r="I379" s="24" t="s">
        <v>18</v>
      </c>
      <c r="J379" s="23">
        <v>0</v>
      </c>
      <c r="K379" s="25">
        <v>3916.69</v>
      </c>
      <c r="L379" s="25">
        <f t="shared" ca="1" si="18"/>
        <v>0</v>
      </c>
      <c r="M379" s="25"/>
      <c r="N379" s="35">
        <f t="shared" ca="1" si="16"/>
        <v>0</v>
      </c>
      <c r="O379" s="26" t="s">
        <v>117</v>
      </c>
      <c r="P379" s="1"/>
    </row>
    <row r="380" spans="6:17" x14ac:dyDescent="0.2">
      <c r="F380" s="1"/>
      <c r="G380" s="5"/>
      <c r="H380" s="24" t="s">
        <v>274</v>
      </c>
      <c r="I380" s="24" t="s">
        <v>18</v>
      </c>
      <c r="J380" s="23">
        <v>0</v>
      </c>
      <c r="K380" s="25">
        <v>73045.98</v>
      </c>
      <c r="L380" s="25">
        <f t="shared" ca="1" si="18"/>
        <v>0</v>
      </c>
      <c r="M380" s="25"/>
      <c r="N380" s="35">
        <f t="shared" ca="1" si="16"/>
        <v>0</v>
      </c>
      <c r="O380" s="26" t="s">
        <v>117</v>
      </c>
      <c r="P380" s="1"/>
    </row>
    <row r="381" spans="6:17" x14ac:dyDescent="0.2">
      <c r="F381" s="1"/>
      <c r="G381" s="5"/>
      <c r="H381" s="24" t="s">
        <v>102</v>
      </c>
      <c r="I381" s="24" t="s">
        <v>18</v>
      </c>
      <c r="J381" s="23">
        <v>0</v>
      </c>
      <c r="K381" s="25">
        <v>-1974132.96</v>
      </c>
      <c r="L381" s="25">
        <f t="shared" ca="1" si="18"/>
        <v>0</v>
      </c>
      <c r="M381" s="25"/>
      <c r="N381" s="35">
        <f t="shared" ca="1" si="16"/>
        <v>0</v>
      </c>
      <c r="O381" s="26" t="s">
        <v>117</v>
      </c>
      <c r="P381" s="1"/>
    </row>
    <row r="382" spans="6:17" x14ac:dyDescent="0.2">
      <c r="F382" s="1"/>
      <c r="G382" s="5"/>
      <c r="H382" s="24" t="s">
        <v>103</v>
      </c>
      <c r="I382" s="24" t="s">
        <v>18</v>
      </c>
      <c r="J382" s="23">
        <v>0</v>
      </c>
      <c r="K382" s="25">
        <v>-987066.48</v>
      </c>
      <c r="L382" s="25">
        <f t="shared" ca="1" si="18"/>
        <v>0</v>
      </c>
      <c r="M382" s="25"/>
      <c r="N382" s="35">
        <f t="shared" ca="1" si="16"/>
        <v>0</v>
      </c>
      <c r="O382" s="26" t="s">
        <v>117</v>
      </c>
      <c r="P382" s="1"/>
    </row>
    <row r="383" spans="6:17" x14ac:dyDescent="0.2">
      <c r="F383" s="1"/>
      <c r="G383" s="5"/>
      <c r="H383" s="27" t="s">
        <v>118</v>
      </c>
      <c r="I383" s="27"/>
      <c r="J383" s="22"/>
      <c r="K383" s="28">
        <f ca="1">SUM(K314:K382)</f>
        <v>-4115631.7099999995</v>
      </c>
      <c r="L383" s="28">
        <f ca="1">SUM(L314:L382)</f>
        <v>0</v>
      </c>
      <c r="M383" s="28">
        <f ca="1">SUM(M314:M382)</f>
        <v>0</v>
      </c>
      <c r="N383" s="35">
        <f t="shared" ca="1" si="16"/>
        <v>0</v>
      </c>
      <c r="O383" s="26" t="s">
        <v>119</v>
      </c>
      <c r="P383" s="1"/>
    </row>
    <row r="384" spans="6:17" x14ac:dyDescent="0.2">
      <c r="F384" s="1"/>
      <c r="G384" s="5"/>
      <c r="H384" s="24" t="s">
        <v>359</v>
      </c>
      <c r="I384" s="24" t="s">
        <v>360</v>
      </c>
      <c r="J384" s="23">
        <v>0.2</v>
      </c>
      <c r="K384" s="25">
        <v>1214</v>
      </c>
      <c r="L384" s="25">
        <f t="shared" ref="L384:L391" ca="1" si="19">ROUND(J384*K384,2)</f>
        <v>242.8</v>
      </c>
      <c r="M384" s="25">
        <v>242.8</v>
      </c>
      <c r="N384" s="35">
        <f t="shared" ca="1" si="16"/>
        <v>0</v>
      </c>
      <c r="O384" s="26" t="s">
        <v>117</v>
      </c>
      <c r="P384" s="1"/>
    </row>
    <row r="385" spans="6:16" x14ac:dyDescent="0.2">
      <c r="F385" s="1"/>
      <c r="G385" s="5"/>
      <c r="H385" s="24" t="s">
        <v>361</v>
      </c>
      <c r="I385" s="24" t="s">
        <v>360</v>
      </c>
      <c r="J385" s="23">
        <v>0.2</v>
      </c>
      <c r="K385" s="25">
        <v>-1214</v>
      </c>
      <c r="L385" s="25">
        <f t="shared" ca="1" si="19"/>
        <v>-242.8</v>
      </c>
      <c r="M385" s="25">
        <v>-242.8</v>
      </c>
      <c r="N385" s="35">
        <f t="shared" ca="1" si="16"/>
        <v>0</v>
      </c>
      <c r="O385" s="26" t="s">
        <v>117</v>
      </c>
      <c r="P385" s="1"/>
    </row>
    <row r="386" spans="6:16" x14ac:dyDescent="0.2">
      <c r="F386" s="1"/>
      <c r="G386" s="5"/>
      <c r="H386" s="24" t="s">
        <v>362</v>
      </c>
      <c r="I386" s="24" t="s">
        <v>360</v>
      </c>
      <c r="J386" s="23">
        <v>0.2</v>
      </c>
      <c r="K386" s="25">
        <v>-5800.07</v>
      </c>
      <c r="L386" s="25">
        <f t="shared" ca="1" si="19"/>
        <v>-1160.01</v>
      </c>
      <c r="M386" s="25">
        <v>-1159.93</v>
      </c>
      <c r="N386" s="35">
        <f t="shared" ca="1" si="16"/>
        <v>0</v>
      </c>
      <c r="O386" s="26" t="s">
        <v>117</v>
      </c>
      <c r="P386" s="1"/>
    </row>
    <row r="387" spans="6:16" x14ac:dyDescent="0.2">
      <c r="F387" s="1"/>
      <c r="G387" s="5"/>
      <c r="H387" s="24" t="s">
        <v>363</v>
      </c>
      <c r="I387" s="24" t="s">
        <v>360</v>
      </c>
      <c r="J387" s="23">
        <v>0.2</v>
      </c>
      <c r="K387" s="25">
        <v>-12500</v>
      </c>
      <c r="L387" s="25">
        <f t="shared" ca="1" si="19"/>
        <v>-2500</v>
      </c>
      <c r="M387" s="25">
        <v>-2500</v>
      </c>
      <c r="N387" s="35">
        <f t="shared" ca="1" si="16"/>
        <v>0</v>
      </c>
      <c r="O387" s="26" t="s">
        <v>117</v>
      </c>
      <c r="P387" s="1"/>
    </row>
    <row r="388" spans="6:16" x14ac:dyDescent="0.2">
      <c r="F388" s="1"/>
      <c r="G388" s="5"/>
      <c r="H388" s="24" t="s">
        <v>234</v>
      </c>
      <c r="I388" s="24" t="s">
        <v>360</v>
      </c>
      <c r="J388" s="23">
        <v>0.2</v>
      </c>
      <c r="K388" s="25">
        <v>-22464.23</v>
      </c>
      <c r="L388" s="25">
        <f t="shared" ca="1" si="19"/>
        <v>-4492.8500000000004</v>
      </c>
      <c r="M388" s="25">
        <v>-4492.8500000000004</v>
      </c>
      <c r="N388" s="35">
        <f t="shared" ca="1" si="16"/>
        <v>0</v>
      </c>
      <c r="O388" s="26" t="s">
        <v>117</v>
      </c>
      <c r="P388" s="1"/>
    </row>
    <row r="389" spans="6:16" x14ac:dyDescent="0.2">
      <c r="F389" s="1"/>
      <c r="G389" s="5"/>
      <c r="H389" s="24" t="s">
        <v>235</v>
      </c>
      <c r="I389" s="24" t="s">
        <v>360</v>
      </c>
      <c r="J389" s="23">
        <v>0.2</v>
      </c>
      <c r="K389" s="25">
        <v>-1171.05</v>
      </c>
      <c r="L389" s="25">
        <f t="shared" ca="1" si="19"/>
        <v>-234.21</v>
      </c>
      <c r="M389" s="25">
        <v>-234.21</v>
      </c>
      <c r="N389" s="35">
        <f t="shared" ca="1" si="16"/>
        <v>0</v>
      </c>
      <c r="O389" s="26" t="s">
        <v>117</v>
      </c>
      <c r="P389" s="1"/>
    </row>
    <row r="390" spans="6:16" x14ac:dyDescent="0.2">
      <c r="F390" s="1"/>
      <c r="G390" s="5"/>
      <c r="H390" s="24" t="s">
        <v>236</v>
      </c>
      <c r="I390" s="24" t="s">
        <v>360</v>
      </c>
      <c r="J390" s="23">
        <v>0.2</v>
      </c>
      <c r="K390" s="25">
        <v>-3263.91</v>
      </c>
      <c r="L390" s="25">
        <f t="shared" ca="1" si="19"/>
        <v>-652.78</v>
      </c>
      <c r="M390" s="25">
        <v>-652.78</v>
      </c>
      <c r="N390" s="35">
        <f t="shared" ca="1" si="16"/>
        <v>0</v>
      </c>
      <c r="O390" s="26" t="s">
        <v>117</v>
      </c>
      <c r="P390" s="1"/>
    </row>
    <row r="391" spans="6:16" x14ac:dyDescent="0.2">
      <c r="F391" s="1"/>
      <c r="G391" s="5"/>
      <c r="H391" s="24" t="s">
        <v>262</v>
      </c>
      <c r="I391" s="24" t="s">
        <v>360</v>
      </c>
      <c r="J391" s="23">
        <v>0.2</v>
      </c>
      <c r="K391" s="25"/>
      <c r="L391" s="25">
        <f t="shared" ca="1" si="19"/>
        <v>0</v>
      </c>
      <c r="M391" s="25">
        <v>-6863.92</v>
      </c>
      <c r="N391" s="35">
        <f t="shared" ca="1" si="16"/>
        <v>1</v>
      </c>
      <c r="O391" s="26" t="s">
        <v>117</v>
      </c>
      <c r="P391" s="1"/>
    </row>
    <row r="392" spans="6:16" x14ac:dyDescent="0.2">
      <c r="F392" s="1"/>
      <c r="G392" s="5"/>
      <c r="H392" s="27" t="s">
        <v>120</v>
      </c>
      <c r="I392" s="27"/>
      <c r="J392" s="22"/>
      <c r="K392" s="28">
        <f ca="1">SUM(K384:K391)</f>
        <v>-45199.260000000009</v>
      </c>
      <c r="L392" s="28">
        <f ca="1">SUM(L384:L391)</f>
        <v>-9039.85</v>
      </c>
      <c r="M392" s="28">
        <f ca="1">SUM(M384:M391)</f>
        <v>-15903.69</v>
      </c>
      <c r="N392" s="35">
        <f t="shared" ca="1" si="16"/>
        <v>1</v>
      </c>
      <c r="O392" s="26" t="s">
        <v>119</v>
      </c>
      <c r="P392" s="1"/>
    </row>
    <row r="393" spans="6:16" x14ac:dyDescent="0.2">
      <c r="F393" s="1"/>
      <c r="G393" s="5"/>
      <c r="H393" s="24" t="s">
        <v>364</v>
      </c>
      <c r="I393" s="24" t="s">
        <v>365</v>
      </c>
      <c r="J393" s="23">
        <v>0</v>
      </c>
      <c r="K393" s="25">
        <v>-1955863.84</v>
      </c>
      <c r="L393" s="25">
        <f t="shared" ref="L393:L400" ca="1" si="20">ROUND(J393*K393,2)</f>
        <v>0</v>
      </c>
      <c r="M393" s="25"/>
      <c r="N393" s="35">
        <f t="shared" ca="1" si="16"/>
        <v>0</v>
      </c>
      <c r="O393" s="26" t="s">
        <v>117</v>
      </c>
      <c r="P393" s="1"/>
    </row>
    <row r="394" spans="6:16" x14ac:dyDescent="0.2">
      <c r="F394" s="1"/>
      <c r="G394" s="5"/>
      <c r="H394" s="24" t="s">
        <v>366</v>
      </c>
      <c r="I394" s="24" t="s">
        <v>365</v>
      </c>
      <c r="J394" s="23">
        <v>0</v>
      </c>
      <c r="K394" s="25">
        <v>-977931.92</v>
      </c>
      <c r="L394" s="25">
        <f t="shared" ca="1" si="20"/>
        <v>0</v>
      </c>
      <c r="M394" s="25"/>
      <c r="N394" s="35">
        <f t="shared" ca="1" si="16"/>
        <v>0</v>
      </c>
      <c r="O394" s="26" t="s">
        <v>117</v>
      </c>
      <c r="P394" s="1"/>
    </row>
    <row r="395" spans="6:16" x14ac:dyDescent="0.2">
      <c r="F395" s="1"/>
      <c r="G395" s="5"/>
      <c r="H395" s="24" t="s">
        <v>367</v>
      </c>
      <c r="I395" s="24" t="s">
        <v>365</v>
      </c>
      <c r="J395" s="23">
        <v>0</v>
      </c>
      <c r="K395" s="25">
        <v>-10531.7</v>
      </c>
      <c r="L395" s="25">
        <f t="shared" ca="1" si="20"/>
        <v>0</v>
      </c>
      <c r="M395" s="25"/>
      <c r="N395" s="35">
        <f t="shared" ca="1" si="16"/>
        <v>0</v>
      </c>
      <c r="O395" s="26" t="s">
        <v>117</v>
      </c>
      <c r="P395" s="1"/>
    </row>
    <row r="396" spans="6:16" x14ac:dyDescent="0.2">
      <c r="F396" s="1"/>
      <c r="G396" s="5"/>
      <c r="H396" s="24" t="s">
        <v>368</v>
      </c>
      <c r="I396" s="24" t="s">
        <v>365</v>
      </c>
      <c r="J396" s="23">
        <v>0</v>
      </c>
      <c r="K396" s="25">
        <v>-727751.69</v>
      </c>
      <c r="L396" s="25">
        <f t="shared" ca="1" si="20"/>
        <v>0</v>
      </c>
      <c r="M396" s="25"/>
      <c r="N396" s="35">
        <f t="shared" ca="1" si="16"/>
        <v>0</v>
      </c>
      <c r="O396" s="26" t="s">
        <v>117</v>
      </c>
      <c r="P396" s="1"/>
    </row>
    <row r="397" spans="6:16" x14ac:dyDescent="0.2">
      <c r="F397" s="1"/>
      <c r="G397" s="5"/>
      <c r="H397" s="24" t="s">
        <v>369</v>
      </c>
      <c r="I397" s="24" t="s">
        <v>365</v>
      </c>
      <c r="J397" s="23">
        <v>0</v>
      </c>
      <c r="K397" s="25">
        <v>-1455503.39</v>
      </c>
      <c r="L397" s="25">
        <f t="shared" ca="1" si="20"/>
        <v>0</v>
      </c>
      <c r="M397" s="25"/>
      <c r="N397" s="35">
        <f t="shared" ca="1" si="16"/>
        <v>0</v>
      </c>
      <c r="O397" s="26" t="s">
        <v>117</v>
      </c>
      <c r="P397" s="1"/>
    </row>
    <row r="398" spans="6:16" x14ac:dyDescent="0.2">
      <c r="F398" s="1"/>
      <c r="G398" s="5"/>
      <c r="H398" s="24" t="s">
        <v>370</v>
      </c>
      <c r="I398" s="24" t="s">
        <v>365</v>
      </c>
      <c r="J398" s="23">
        <v>0</v>
      </c>
      <c r="K398" s="25">
        <v>-1470.28</v>
      </c>
      <c r="L398" s="25">
        <f t="shared" ca="1" si="20"/>
        <v>0</v>
      </c>
      <c r="M398" s="25"/>
      <c r="N398" s="35">
        <f t="shared" ca="1" si="16"/>
        <v>0</v>
      </c>
      <c r="O398" s="26" t="s">
        <v>117</v>
      </c>
      <c r="P398" s="1"/>
    </row>
    <row r="399" spans="6:16" x14ac:dyDescent="0.2">
      <c r="F399" s="1"/>
      <c r="G399" s="5"/>
      <c r="H399" s="24" t="s">
        <v>371</v>
      </c>
      <c r="I399" s="24" t="s">
        <v>365</v>
      </c>
      <c r="J399" s="23">
        <v>0</v>
      </c>
      <c r="K399" s="25">
        <v>-43504.34</v>
      </c>
      <c r="L399" s="25">
        <f t="shared" ca="1" si="20"/>
        <v>0</v>
      </c>
      <c r="M399" s="25"/>
      <c r="N399" s="35">
        <f t="shared" ca="1" si="16"/>
        <v>0</v>
      </c>
      <c r="O399" s="26" t="s">
        <v>117</v>
      </c>
      <c r="P399" s="1"/>
    </row>
    <row r="400" spans="6:16" x14ac:dyDescent="0.2">
      <c r="F400" s="1"/>
      <c r="G400" s="5"/>
      <c r="H400" s="24" t="s">
        <v>372</v>
      </c>
      <c r="I400" s="24" t="s">
        <v>365</v>
      </c>
      <c r="J400" s="23">
        <v>0</v>
      </c>
      <c r="K400" s="25">
        <v>-27778.959999999999</v>
      </c>
      <c r="L400" s="25">
        <f t="shared" ca="1" si="20"/>
        <v>0</v>
      </c>
      <c r="M400" s="25"/>
      <c r="N400" s="35">
        <f t="shared" ca="1" si="16"/>
        <v>0</v>
      </c>
      <c r="O400" s="26" t="s">
        <v>117</v>
      </c>
      <c r="P400" s="1"/>
    </row>
    <row r="401" spans="6:16" x14ac:dyDescent="0.2">
      <c r="F401" s="1"/>
      <c r="G401" s="5"/>
      <c r="H401" s="27" t="s">
        <v>121</v>
      </c>
      <c r="I401" s="27"/>
      <c r="J401" s="22"/>
      <c r="K401" s="28">
        <f ca="1">SUM(K393:K400)</f>
        <v>-5200336.12</v>
      </c>
      <c r="L401" s="28">
        <f ca="1">SUM(L393:L400)</f>
        <v>0</v>
      </c>
      <c r="M401" s="28">
        <f ca="1">SUM(M393:M400)</f>
        <v>0</v>
      </c>
      <c r="N401" s="35">
        <f t="shared" ca="1" si="16"/>
        <v>0</v>
      </c>
      <c r="O401" s="26" t="s">
        <v>119</v>
      </c>
      <c r="P401" s="1"/>
    </row>
    <row r="402" spans="6:16" ht="15" thickBot="1" x14ac:dyDescent="0.25">
      <c r="F402" s="1"/>
      <c r="G402" s="16"/>
      <c r="H402" s="29" t="s">
        <v>122</v>
      </c>
      <c r="I402" s="29"/>
      <c r="J402" s="29"/>
      <c r="K402" s="29"/>
      <c r="L402" s="29"/>
      <c r="M402" s="29"/>
      <c r="N402" s="29"/>
      <c r="O402" s="30" t="s">
        <v>123</v>
      </c>
      <c r="P402" s="1"/>
    </row>
  </sheetData>
  <dataValidations count="9">
    <dataValidation type="textLength" errorStyle="information" allowBlank="1" showInputMessage="1" showErrorMessage="1" error="XLBVal:8=2015/005_x000d__x000a_" sqref="D14">
      <formula1>0</formula1>
      <formula2>300</formula2>
    </dataValidation>
    <dataValidation type="textLength" errorStyle="information" allowBlank="1" showInputMessage="1" showErrorMessage="1" error="XLBVal:8=_x000d__x000a_ Result = &quot;N7767&quot;_x000d_ Else_x000d_ Result = &quot;&quot;_x000d_ End If_x000d__x000a_BRowCount:3=1_x000d__x000a_XLBColCount:3=8_x000d__x000a_Style:2=2_x000d__x000a_XLBRowCount:3=383_x000d__x000a_" sqref="H20">
      <formula1>0</formula1>
      <formula2>300</formula2>
    </dataValidation>
    <dataValidation type="textLength" errorStyle="information" allowBlank="1" showInputMessage="1" showErrorMessage="1" error="XLBVal:5=26158_x000d__x000a_ Result = &quot;N7767&quot;_x000d_ Else_x000d_ Result = &quot;&quot;_x000d_ End If_x000d__x000a_BRowCount:3=1_x000d__x000a_XLBColCount:3=12_x000d__x000a_Style:2=2_x000d__x000a_XLBRowCount:3=273_x000d__x000a_" sqref="R7">
      <formula1>0</formula1>
      <formula2>300</formula2>
    </dataValidation>
    <dataValidation type="textLength" errorStyle="information" allowBlank="1" showInputMessage="1" showErrorMessage="1" error="XLBVal:8=LA01-100_x000d__x000a_" sqref="D15">
      <formula1>0</formula1>
      <formula2>300</formula2>
    </dataValidation>
    <dataValidation type="textLength" errorStyle="information" allowBlank="1" showInputMessage="1" showErrorMessage="1" error="XLBVal:6=-12243.76_x000d__x000a_" sqref="M6">
      <formula1>0</formula1>
      <formula2>300</formula2>
    </dataValidation>
    <dataValidation type="textLength" errorStyle="information" allowBlank="1" showInputMessage="1" showErrorMessage="1" error="XLBVal:6=22175.47_x000d__x000a_" sqref="M8">
      <formula1>0</formula1>
      <formula2>300</formula2>
    </dataValidation>
    <dataValidation type="textLength" errorStyle="information" allowBlank="1" showInputMessage="1" showErrorMessage="1" error="XLBVal:6=12243.76_x000d__x000a_" sqref="M5">
      <formula1>0</formula1>
      <formula2>300</formula2>
    </dataValidation>
    <dataValidation type="textLength" errorStyle="information" allowBlank="1" showInputMessage="1" showErrorMessage="1" error="XLBVal:6=6041874.44_x000d__x000a_" sqref="M10">
      <formula1>0</formula1>
      <formula2>300</formula2>
    </dataValidation>
    <dataValidation type="textLength" errorStyle="information" allowBlank="1" showInputMessage="1" showErrorMessage="1" error="XLBVal:6=5942423.22_x000d__x000a_" sqref="M11">
      <formula1>0</formula1>
      <formula2>300</formula2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9A1AC1B-D425-4860-BB9E-3F08FB4DB3D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TrafficLights1" iconId="0"/>
            </x14:iconSet>
          </x14:cfRule>
          <xm:sqref>N20:N401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/>
  </sheetViews>
  <sheetFormatPr defaultRowHeight="14.25" x14ac:dyDescent="0.2"/>
  <sheetData>
    <row r="1" spans="1:6" ht="409.5" x14ac:dyDescent="0.2">
      <c r="A1" t="s">
        <v>14</v>
      </c>
      <c r="B1" t="s">
        <v>15</v>
      </c>
      <c r="C1" s="20" t="s">
        <v>440</v>
      </c>
      <c r="D1" s="20" t="s">
        <v>441</v>
      </c>
      <c r="E1" t="s">
        <v>442</v>
      </c>
      <c r="F1" s="20" t="s">
        <v>443</v>
      </c>
    </row>
    <row r="2" spans="1:6" ht="409.5" x14ac:dyDescent="0.2">
      <c r="A2" t="s">
        <v>387</v>
      </c>
      <c r="B2" t="s">
        <v>15</v>
      </c>
      <c r="C2" s="20" t="s">
        <v>429</v>
      </c>
      <c r="D2" t="s">
        <v>430</v>
      </c>
      <c r="E2" t="s">
        <v>431</v>
      </c>
      <c r="F2" s="20" t="s">
        <v>432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Process</vt:lpstr>
      <vt:lpstr>bankAcct</vt:lpstr>
      <vt:lpstr>bankEntity</vt:lpstr>
      <vt:lpstr>businessUnit</vt:lpstr>
      <vt:lpstr>entity</vt:lpstr>
      <vt:lpstr>group</vt:lpstr>
      <vt:lpstr>jrnl</vt:lpstr>
      <vt:lpstr>period</vt:lpstr>
      <vt:lpstr>periodDefault</vt:lpstr>
      <vt:lpstr>periodTo</vt:lpstr>
      <vt:lpstr>returnDate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Holley</dc:creator>
  <cp:lastModifiedBy>Peter</cp:lastModifiedBy>
  <dcterms:created xsi:type="dcterms:W3CDTF">2015-05-29T08:04:59Z</dcterms:created>
  <dcterms:modified xsi:type="dcterms:W3CDTF">2016-03-03T07:36:03Z</dcterms:modified>
</cp:coreProperties>
</file>